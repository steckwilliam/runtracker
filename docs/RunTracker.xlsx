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wsteck\Desktop\"/>
    </mc:Choice>
  </mc:AlternateContent>
  <xr:revisionPtr revIDLastSave="0" documentId="8_{D5C7C8DC-2952-4444-A87A-CE64F23FA0B8}" xr6:coauthVersionLast="47" xr6:coauthVersionMax="47" xr10:uidLastSave="{00000000-0000-0000-0000-000000000000}"/>
  <bookViews>
    <workbookView xWindow="-120" yWindow="-120" windowWidth="38640" windowHeight="21120" xr2:uid="{00000000-000D-0000-FFFF-FFFF00000000}"/>
  </bookViews>
  <sheets>
    <sheet name="Runs" sheetId="1" r:id="rId1"/>
    <sheet name="Pivot Analysis" sheetId="2" r:id="rId2"/>
    <sheet name="Dashboard" sheetId="4" r:id="rId3"/>
  </sheets>
  <definedNames>
    <definedName name="FastestQualifyingPace">Runs!$J$3</definedName>
    <definedName name="NativeTimeline_Month">#N/A</definedName>
    <definedName name="SelectedWeather">Runs!$G$3</definedName>
    <definedName name="Slicer_Month">#N/A</definedName>
    <definedName name="Slicer_Weather_Condition">#N/A</definedName>
    <definedName name="Slicer_Weather_Condition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46BE6895-7355-4a93-B00E-2C351335B9C9}">
      <x15:slicerCaches xmlns:x14="http://schemas.microsoft.com/office/spreadsheetml/2009/9/main">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5" i="1" s="1" a="1"/>
  <c r="J5" i="1" s="1"/>
  <c r="D7" i="1"/>
  <c r="D6" i="1"/>
  <c r="D5" i="1"/>
  <c r="D4" i="1"/>
  <c r="D3"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J6" i="1" l="1" a="1"/>
  <c r="J6" i="1" s="1"/>
  <c r="J7" i="1" a="1"/>
  <c r="J7" i="1" s="1"/>
  <c r="G6" i="1"/>
  <c r="G7" i="1"/>
  <c r="G5" i="1"/>
  <c r="G4" i="1"/>
  <c r="J4" i="1" a="1"/>
  <c r="J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<sst xmlns="http://schemas.openxmlformats.org/spreadsheetml/2006/main" count="249" uniqueCount="182">
  <si>
    <t>Date</t>
  </si>
  <si>
    <t>Start Time</t>
  </si>
  <si>
    <t>Weather</t>
  </si>
  <si>
    <t>12:37 PM</t>
  </si>
  <si>
    <t>91°F Drizzle</t>
  </si>
  <si>
    <t>6:12 PM</t>
  </si>
  <si>
    <t>86°F Cloudy</t>
  </si>
  <si>
    <t>12:59 PM</t>
  </si>
  <si>
    <t>88°F Drizzle</t>
  </si>
  <si>
    <t>6:45 PM</t>
  </si>
  <si>
    <t>85°F Drizzle</t>
  </si>
  <si>
    <t>7:15 PM</t>
  </si>
  <si>
    <t>83°F Partly cloudy</t>
  </si>
  <si>
    <t>6:42 PM</t>
  </si>
  <si>
    <t>12:34 PM</t>
  </si>
  <si>
    <t>89°F Partly cloudy</t>
  </si>
  <si>
    <t>6:30 PM</t>
  </si>
  <si>
    <t>89°F Drizzle</t>
  </si>
  <si>
    <t>7:30 PM</t>
  </si>
  <si>
    <t>87°F Clear</t>
  </si>
  <si>
    <t>7:26 PM</t>
  </si>
  <si>
    <t>5:14 PM</t>
  </si>
  <si>
    <t>88°F Partly cloudy</t>
  </si>
  <si>
    <t>7:16 PM</t>
  </si>
  <si>
    <t>5:23 PM</t>
  </si>
  <si>
    <t>86°F Drizzle</t>
  </si>
  <si>
    <t>3:05 PM</t>
  </si>
  <si>
    <t>77°F Rain</t>
  </si>
  <si>
    <t>6:59 PM</t>
  </si>
  <si>
    <t>83°F Drizzle</t>
  </si>
  <si>
    <t>7:25 PM</t>
  </si>
  <si>
    <t>79°F Rain</t>
  </si>
  <si>
    <t>84°F Clear</t>
  </si>
  <si>
    <t>7:03 PM</t>
  </si>
  <si>
    <t>7:13 PM</t>
  </si>
  <si>
    <t>81°F Cloudy</t>
  </si>
  <si>
    <t>5:09 PM</t>
  </si>
  <si>
    <t>80°F Cloudy</t>
  </si>
  <si>
    <t>6:27 PM</t>
  </si>
  <si>
    <t>79°F Cloudy</t>
  </si>
  <si>
    <t>7:14 PM</t>
  </si>
  <si>
    <t>2:45 PM</t>
  </si>
  <si>
    <t>76°F Rain</t>
  </si>
  <si>
    <t>7:17 PM</t>
  </si>
  <si>
    <t>80°F Partly cloudy</t>
  </si>
  <si>
    <t>7:19 PM</t>
  </si>
  <si>
    <t>81°F Clear</t>
  </si>
  <si>
    <t>6:35 PM</t>
  </si>
  <si>
    <t>80°F Drizzle</t>
  </si>
  <si>
    <t>7:20 PM</t>
  </si>
  <si>
    <t>78°F Cloudy</t>
  </si>
  <si>
    <t>7:10 PM</t>
  </si>
  <si>
    <t>76°F Cloudy</t>
  </si>
  <si>
    <t>5:03 PM</t>
  </si>
  <si>
    <t>84°F Cloudy</t>
  </si>
  <si>
    <t>6:52 PM</t>
  </si>
  <si>
    <t>6:00 PM</t>
  </si>
  <si>
    <t>82°F Clear</t>
  </si>
  <si>
    <t>6:50 PM</t>
  </si>
  <si>
    <t>77°F Partly cloudy</t>
  </si>
  <si>
    <t>6:34 PM</t>
  </si>
  <si>
    <t>78°F Partly cloudy</t>
  </si>
  <si>
    <t>5:08 PM</t>
  </si>
  <si>
    <t>75°F Cloudy</t>
  </si>
  <si>
    <t>5:17 PM</t>
  </si>
  <si>
    <t>1:27 PM</t>
  </si>
  <si>
    <t>1:14 PM</t>
  </si>
  <si>
    <t>5:06 PM</t>
  </si>
  <si>
    <t>78°F Clear</t>
  </si>
  <si>
    <t>6:38 PM</t>
  </si>
  <si>
    <t>71°F Clear</t>
  </si>
  <si>
    <t>2:55 PM</t>
  </si>
  <si>
    <t>75°F Partly cloudy</t>
  </si>
  <si>
    <t>4:15 PM</t>
  </si>
  <si>
    <t>5:58 PM</t>
  </si>
  <si>
    <t>80°F Clear</t>
  </si>
  <si>
    <t>6:51 PM</t>
  </si>
  <si>
    <t>5:45 PM</t>
  </si>
  <si>
    <t>53°F Clear</t>
  </si>
  <si>
    <t>5:56 PM</t>
  </si>
  <si>
    <t>70°F Partly cloudy</t>
  </si>
  <si>
    <t>6:07 PM</t>
  </si>
  <si>
    <t>72°F Rain</t>
  </si>
  <si>
    <t>6:49 PM</t>
  </si>
  <si>
    <t>77°F Cloudy</t>
  </si>
  <si>
    <t>5:59 PM</t>
  </si>
  <si>
    <t>5:43 PM</t>
  </si>
  <si>
    <t>77°F Drizzle</t>
  </si>
  <si>
    <t>5:28 PM</t>
  </si>
  <si>
    <t>4:56 PM</t>
  </si>
  <si>
    <t>76°F Clear</t>
  </si>
  <si>
    <t>1:20 PM</t>
  </si>
  <si>
    <t>5:48 PM</t>
  </si>
  <si>
    <t>5:29 PM</t>
  </si>
  <si>
    <t>60°F Clear</t>
  </si>
  <si>
    <t>67°F Clear</t>
  </si>
  <si>
    <t>2:00 PM</t>
  </si>
  <si>
    <t>57°F Cloudy</t>
  </si>
  <si>
    <t>49°F Clear</t>
  </si>
  <si>
    <t>1:31 PM</t>
  </si>
  <si>
    <t>41°F Clear</t>
  </si>
  <si>
    <t>4:58 PM</t>
  </si>
  <si>
    <t>5:10 PM</t>
  </si>
  <si>
    <t>67°F Cloudy</t>
  </si>
  <si>
    <t>5:04 PM</t>
  </si>
  <si>
    <t>54°F Clear</t>
  </si>
  <si>
    <t>4:46 PM</t>
  </si>
  <si>
    <t>66°F Cloudy</t>
  </si>
  <si>
    <t>1:15 PM</t>
  </si>
  <si>
    <t>63°F Cloudy</t>
  </si>
  <si>
    <t>62°F Cloudy</t>
  </si>
  <si>
    <t>1:10 PM</t>
  </si>
  <si>
    <t>58°F Clear</t>
  </si>
  <si>
    <t>4:43 PM</t>
  </si>
  <si>
    <t>4:37 PM</t>
  </si>
  <si>
    <t>56°F Cloudy</t>
  </si>
  <si>
    <t>1:55 PM</t>
  </si>
  <si>
    <t>1:30 PM</t>
  </si>
  <si>
    <t>68°F Cloudy</t>
  </si>
  <si>
    <t>4:38 PM</t>
  </si>
  <si>
    <t>79°F Drizzle</t>
  </si>
  <si>
    <t>2:18 PM</t>
  </si>
  <si>
    <t>75°F Clear</t>
  </si>
  <si>
    <t>1:50 PM</t>
  </si>
  <si>
    <t>79°F Clear</t>
  </si>
  <si>
    <t>5:42 PM</t>
  </si>
  <si>
    <t>12:27 PM</t>
  </si>
  <si>
    <t>70°F Clear</t>
  </si>
  <si>
    <t>5:07 PM</t>
  </si>
  <si>
    <t>69°F Clear</t>
  </si>
  <si>
    <t>4:54 PM</t>
  </si>
  <si>
    <t>65°F Clear</t>
  </si>
  <si>
    <t>11:33 AM</t>
  </si>
  <si>
    <t>59°F Clear</t>
  </si>
  <si>
    <t>11:05 AM</t>
  </si>
  <si>
    <t>61°F Partly cloudy</t>
  </si>
  <si>
    <t>6:37 PM</t>
  </si>
  <si>
    <t>74°F Clear</t>
  </si>
  <si>
    <t>12:58 PM</t>
  </si>
  <si>
    <t>6:24 PM</t>
  </si>
  <si>
    <t>5:20 PM</t>
  </si>
  <si>
    <t>5:47 PM</t>
  </si>
  <si>
    <t>83°F Clear</t>
  </si>
  <si>
    <t>7:00 PM</t>
  </si>
  <si>
    <t>82°F Drizzle</t>
  </si>
  <si>
    <t>6:56 PM</t>
  </si>
  <si>
    <t>86°F Clear</t>
  </si>
  <si>
    <t>85°F Clear</t>
  </si>
  <si>
    <t>7:22 PM</t>
  </si>
  <si>
    <t>82°F Partly cloudy</t>
  </si>
  <si>
    <t>81°F Partly cloudy</t>
  </si>
  <si>
    <t>2:26 PM</t>
  </si>
  <si>
    <t>7:07 PM</t>
  </si>
  <si>
    <t>85°F Partly cloudy</t>
  </si>
  <si>
    <t>84°F Partly cloudy</t>
  </si>
  <si>
    <t>91°F Clear</t>
  </si>
  <si>
    <t>Distance (mi)</t>
  </si>
  <si>
    <t>Pace (min/mi)</t>
  </si>
  <si>
    <t>Time (h:mm:ss)</t>
  </si>
  <si>
    <t>Temperature (°F)</t>
  </si>
  <si>
    <t>Weather Condition</t>
  </si>
  <si>
    <t>Month</t>
  </si>
  <si>
    <t>RunTracker Data &amp; Analysis</t>
  </si>
  <si>
    <t>Run Summary</t>
  </si>
  <si>
    <t>Average Pace (min/mi)</t>
  </si>
  <si>
    <t>Average Time (h:mm:ss)</t>
  </si>
  <si>
    <t>Average Distance (mi)</t>
  </si>
  <si>
    <t>Total Distance (mi)</t>
  </si>
  <si>
    <t>Total Runs</t>
  </si>
  <si>
    <t>Selected Weather Analysis</t>
  </si>
  <si>
    <t>Selected Weather</t>
  </si>
  <si>
    <t>Longest Run (mi)</t>
  </si>
  <si>
    <t>Rain</t>
  </si>
  <si>
    <t>Fastest Pace (min/mi)</t>
  </si>
  <si>
    <t>Run Date</t>
  </si>
  <si>
    <t>Fastest Qualifying Run (3+ mi)</t>
  </si>
  <si>
    <t>Monthly Running Analysis</t>
  </si>
  <si>
    <t>Grand Total</t>
  </si>
  <si>
    <t>Monthly Performance Summary</t>
  </si>
  <si>
    <t>Average Pace by Month</t>
  </si>
  <si>
    <t>Total Distance by Month</t>
  </si>
  <si>
    <t>Running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</si>
</sst>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ss"/>
    <numFmt numFmtId="165" formatCode="mmm\ yyyy"/>
  </numFmts>
  <fonts count="4" x14ac:knownFonts="1">
    <font>
      <sz val="11"/>
      <color theme="1"/>
      <name val="Calibri"/>
      <family val="2"/>
      <scheme val="minor"/>
    </font>
    <font>
      <sz val="8"/>
      <name val="Calibri"/>
      <family val="2"/>
      <scheme val="minor"/>
    </font>
    <font>
      <b/>
      <sz val="18"/>
      <color theme="0"/>
      <name val="Calibri"/>
      <family val="2"/>
      <scheme val="minor"/>
    </font>
    <font>
      <b/>
      <sz val="12"/>
      <color theme="0"/>
      <name val="Calibri"/>
      <family val="2"/>
      <scheme val="minor"/>
    </font>
  </fonts>
  <fills count="6">
    <fill>
      <patternFill patternType="none"/>
    </fill>
    <fill>
      <patternFill patternType="gray125"/>
    </fill>
    <fill>
      <patternFill patternType="solid">
        <fgColor rgb="FF243447"/>
        <bgColor indexed="64"/>
      </patternFill>
    </fill>
    <fill>
      <patternFill patternType="solid">
        <fgColor rgb="FF2A9D8F"/>
        <bgColor indexed="64"/>
      </patternFill>
    </fill>
    <fill>
      <patternFill patternType="solid">
        <fgColor rgb="FFF6F7F4"/>
        <bgColor indexed="64"/>
      </patternFill>
    </fill>
    <fill>
      <patternFill patternType="solid">
        <fgColor rgb="FFFFF3CD"/>
        <bgColor indexed="64"/>
      </patternFill>
    </fill>
  </fills>
  <borders count="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31">
    <xf numFmtId="0" fontId="0" fillId="0" borderId="0" xfId="0"/>
    <xf numFmtId="18" fontId="0" fillId="0" borderId="0" xfId="0" applyNumberFormat="1" applyAlignment="1">
      <alignment horizontal="right"/>
    </xf>
    <xf numFmtId="1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left"/>
    </xf>
    <xf numFmtId="1" fontId="0" fillId="0" borderId="0" xfId="0" applyNumberFormat="1" applyAlignment="1">
      <alignment horizontal="right"/>
    </xf>
    <xf numFmtId="21" fontId="0" fillId="0" borderId="0" xfId="0" applyNumberFormat="1" applyAlignment="1">
      <alignment horizontal="right"/>
    </xf>
    <xf numFmtId="164" fontId="0" fillId="0" borderId="0" xfId="0" applyNumberFormat="1" applyAlignment="1">
      <alignment horizontal="right"/>
    </xf>
    <xf numFmtId="2" fontId="0" fillId="0" borderId="0" xfId="0" applyNumberFormat="1" applyAlignment="1">
      <alignment horizontal="right"/>
    </xf>
    <xf numFmtId="164" fontId="0" fillId="4" borderId="1" xfId="0" applyNumberFormat="1" applyFill="1" applyBorder="1" applyAlignment="1">
      <alignment horizontal="center" vertical="center"/>
    </xf>
    <xf numFmtId="0" fontId="0" fillId="5" borderId="1" xfId="0" applyFill="1" applyBorder="1" applyAlignment="1">
      <alignment horizontal="center" vertical="center"/>
    </xf>
    <xf numFmtId="21" fontId="0" fillId="4" borderId="1" xfId="0" applyNumberFormat="1" applyFill="1" applyBorder="1" applyAlignment="1">
      <alignment horizontal="center" vertical="center"/>
    </xf>
    <xf numFmtId="1" fontId="0" fillId="4" borderId="1" xfId="0" applyNumberFormat="1" applyFill="1" applyBorder="1" applyAlignment="1">
      <alignment horizontal="center" vertical="center"/>
    </xf>
    <xf numFmtId="14" fontId="0" fillId="4" borderId="1" xfId="0" applyNumberFormat="1" applyFill="1" applyBorder="1" applyAlignment="1">
      <alignment horizontal="center" vertical="center"/>
    </xf>
    <xf numFmtId="2" fontId="0" fillId="4" borderId="1" xfId="0" applyNumberFormat="1" applyFill="1" applyBorder="1" applyAlignment="1">
      <alignment horizontal="center" vertical="center"/>
    </xf>
    <xf numFmtId="0" fontId="0" fillId="4" borderId="1" xfId="0" applyFill="1" applyBorder="1" applyAlignment="1">
      <alignment horizontal="center" vertical="center"/>
    </xf>
    <xf numFmtId="165" fontId="0" fillId="0" borderId="1" xfId="0" applyNumberFormat="1" applyBorder="1"/>
    <xf numFmtId="2" fontId="0" fillId="0" borderId="1" xfId="0" applyNumberFormat="1" applyBorder="1"/>
    <xf numFmtId="164" fontId="0" fillId="0" borderId="1" xfId="0" applyNumberFormat="1" applyBorder="1"/>
    <xf numFmtId="1" fontId="0" fillId="0" borderId="1" xfId="0" applyNumberFormat="1" applyBorder="1"/>
    <xf numFmtId="0" fontId="0" fillId="0" borderId="2" xfId="0" pivotButton="1" applyBorder="1"/>
    <xf numFmtId="165" fontId="0" fillId="0" borderId="2" xfId="0" applyNumberFormat="1" applyBorder="1"/>
    <xf numFmtId="0" fontId="0" fillId="0" borderId="2" xfId="0" applyBorder="1"/>
    <xf numFmtId="1" fontId="0" fillId="0" borderId="2" xfId="0" applyNumberFormat="1" applyBorder="1"/>
    <xf numFmtId="2" fontId="0" fillId="0" borderId="2" xfId="0" applyNumberFormat="1" applyBorder="1"/>
    <xf numFmtId="164" fontId="0" fillId="0" borderId="2" xfId="0" applyNumberFormat="1" applyBorder="1"/>
    <xf numFmtId="0" fontId="0" fillId="4" borderId="1" xfId="0" applyFill="1" applyBorder="1" applyAlignment="1">
      <alignment horizontal="left" vertical="center"/>
    </xf>
    <xf numFmtId="0" fontId="3" fillId="3" borderId="1" xfId="0" applyFont="1" applyFill="1" applyBorder="1" applyAlignment="1">
      <alignment horizontal="center" vertical="center"/>
    </xf>
    <xf numFmtId="0" fontId="2" fillId="2" borderId="0" xfId="0" applyFont="1" applyFill="1" applyAlignment="1">
      <alignment horizontal="center" vertical="center"/>
    </xf>
    <xf numFmtId="0" fontId="0" fillId="4" borderId="3" xfId="0" applyFill="1" applyBorder="1" applyAlignment="1">
      <alignment horizontal="left" vertical="center"/>
    </xf>
    <xf numFmtId="0" fontId="0" fillId="4" borderId="4" xfId="0" applyFill="1" applyBorder="1" applyAlignment="1">
      <alignment horizontal="left" vertical="center"/>
    </xf>
  </cellXfs>
  <cellStyles count="1">
    <cellStyle name="Normal" xfId="0" builtinId="0"/>
  </cellStyles>
  <dxfs count="46">
    <dxf>
      <border>
        <horizontal style="thin">
          <color theme="0" tint="-0.34998626667073579"/>
        </horizontal>
      </border>
    </dxf>
    <dxf>
      <border>
        <horizontal style="thin">
          <color theme="0" tint="-0.34998626667073579"/>
        </horizontal>
      </border>
    </dxf>
    <dxf>
      <border>
        <horizontal style="thin">
          <color theme="0" tint="-0.34998626667073579"/>
        </horizontal>
      </border>
    </dxf>
    <dxf>
      <border>
        <vertical style="thin">
          <color theme="0" tint="-0.34998626667073579"/>
        </vertical>
      </border>
    </dxf>
    <dxf>
      <border>
        <vertical style="thin">
          <color theme="0" tint="-0.34998626667073579"/>
        </vertical>
      </border>
    </dxf>
    <dxf>
      <border>
        <vertical style="thin">
          <color theme="0" tint="-0.34998626667073579"/>
        </vertical>
      </border>
    </dxf>
    <dxf>
      <border>
        <left style="thin">
          <color theme="0" tint="-0.34998626667073579"/>
        </left>
        <top style="thin">
          <color theme="0" tint="-0.34998626667073579"/>
        </top>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horizontal style="thin">
          <color theme="0" tint="-0.34998626667073579"/>
        </horizontal>
      </border>
    </dxf>
    <dxf>
      <border>
        <horizontal style="thin">
          <color theme="0" tint="-0.34998626667073579"/>
        </horizontal>
      </border>
    </dxf>
    <dxf>
      <border>
        <vertical style="thin">
          <color theme="0" tint="-0.34998626667073579"/>
        </vertical>
      </border>
    </dxf>
    <dxf>
      <border>
        <vertical style="thin">
          <color theme="0" tint="-0.34998626667073579"/>
        </vertical>
      </border>
    </dxf>
    <dxf>
      <border>
        <vertical style="thin">
          <color theme="0" tint="-0.34998626667073579"/>
        </vertical>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horizontal style="thin">
          <color theme="0" tint="-0.34998626667073579"/>
        </horizontal>
      </border>
    </dxf>
    <dxf>
      <border>
        <vertical style="thin">
          <color theme="0" tint="-0.34998626667073579"/>
        </vertical>
      </border>
    </dxf>
    <dxf>
      <border>
        <vertical style="thin">
          <color theme="0" tint="-0.34998626667073579"/>
        </vertical>
      </border>
    </dxf>
    <dxf>
      <border>
        <vertical style="thin">
          <color theme="0" tint="-0.34998626667073579"/>
        </vertical>
      </border>
    </dxf>
    <dxf>
      <border>
        <vertical style="thin">
          <color theme="0" tint="-0.34998626667073579"/>
        </vertical>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border>
        <left style="thin">
          <color theme="0" tint="-0.34998626667073579"/>
        </left>
        <right style="thin">
          <color theme="0" tint="-0.34998626667073579"/>
        </right>
        <bottom style="thin">
          <color theme="0" tint="-0.34998626667073579"/>
        </bottom>
      </border>
    </dxf>
    <dxf>
      <numFmt numFmtId="165" formatCode="mmm\ yyyy"/>
      <alignment horizontal="right" vertical="bottom" textRotation="0" wrapText="0" indent="0" justifyLastLine="0" shrinkToFit="0" readingOrder="0"/>
    </dxf>
    <dxf>
      <alignment horizontal="left" vertical="bottom" textRotation="0" wrapText="0" indent="0" justifyLastLine="0" shrinkToFit="0" readingOrder="0"/>
    </dxf>
    <dxf>
      <numFmt numFmtId="1" formatCode="0"/>
      <alignment horizontal="right" vertical="bottom" textRotation="0" wrapText="0" indent="0" justifyLastLine="0" shrinkToFit="0" readingOrder="0"/>
    </dxf>
    <dxf>
      <alignment horizontal="left" vertical="bottom" textRotation="0" wrapText="0" indent="0" justifyLastLine="0" shrinkToFit="0" readingOrder="0"/>
    </dxf>
    <dxf>
      <numFmt numFmtId="26" formatCode="h:mm:ss"/>
      <alignment horizontal="right" vertical="bottom" textRotation="0" wrapText="0" indent="0" justifyLastLine="0" shrinkToFit="0" readingOrder="0"/>
    </dxf>
    <dxf>
      <numFmt numFmtId="164" formatCode="m:ss"/>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3" formatCode="h:mm\ AM/PM"/>
      <alignment horizontal="right" vertical="bottom" textRotation="0" wrapText="0" indent="0" justifyLastLine="0" shrinkToFit="0" readingOrder="0"/>
    </dxf>
    <dxf>
      <numFmt numFmtId="19" formatCode="m/d/yyyy"/>
      <alignment horizontal="right" vertical="bottom" textRotation="0" wrapText="0" indent="0" justifyLastLine="0" shrinkToFit="0" readingOrder="0"/>
    </dxf>
    <dxf>
      <fill>
        <patternFill>
          <bgColor rgb="FFEAF4F2"/>
        </patternFill>
      </fill>
    </dxf>
    <dxf>
      <fill>
        <patternFill>
          <bgColor theme="0"/>
        </patternFill>
      </fill>
    </dxf>
    <dxf>
      <font>
        <b/>
        <i val="0"/>
        <color theme="0"/>
      </font>
      <fill>
        <patternFill>
          <bgColor rgb="FF243447"/>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1" defaultTableStyle="TableStyleMedium9" defaultPivotStyle="PivotStyleLight16">
    <tableStyle name="RunTracker Table" pivot="0" count="4" xr9:uid="{78BE8822-B48D-47DB-A844-91EB33E6FD28}">
      <tableStyleElement type="wholeTable" dxfId="45"/>
      <tableStyleElement type="headerRow" dxfId="44"/>
      <tableStyleElement type="firstRowStripe" dxfId="43"/>
      <tableStyleElement type="secondRowStripe" dxfId="42"/>
    </tableStyle>
  </tableStyles>
  <colors>
    <mruColors>
      <color rgb="FF2A9D8F"/>
      <color rgb="FF243447"/>
      <color rgb="FFF6F7F4"/>
      <color rgb="FF1F2933"/>
      <color rgb="FFEAF4F2"/>
      <color rgb="FFFFF3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[RunTracker.xlsx]Pivot Analysis!ptMonthlyPace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Average Pace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2A9D8F"/>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Analysis'!$H$4</c:f>
              <c:strCache>
                <c:ptCount val="1"/>
                <c:pt idx="0">
                  <c:v>Total</c:v>
                </c:pt>
              </c:strCache>
            </c:strRef>
          </c:tx>
          <c:spPr>
            <a:ln w="28575" cap="rnd">
              <a:solidFill>
                <a:srgbClr val="2A9D8F"/>
              </a:solidFill>
              <a:round/>
            </a:ln>
            <a:effectLst/>
          </c:spPr>
          <c:marker>
            <c:symbol val="circle"/>
            <c:size val="5"/>
            <c:spPr>
              <a:solidFill>
                <a:schemeClr val="accent1"/>
              </a:solidFill>
              <a:ln w="9525">
                <a:solidFill>
                  <a:schemeClr val="accent1"/>
                </a:solidFill>
              </a:ln>
              <a:effectLst/>
            </c:spPr>
          </c:marker>
          <c:cat>
            <c:strRef>
              <c:f>'Pivot Analysis'!$G$5:$G$16</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'Pivot Analysis'!$H$5:$H$16</c:f>
              <c:numCache>
                <c:formatCode>m:ss</c:formatCode>
                <c:ptCount val="12"/>
                <c:pt idx="0">
                  <c:v>5.9282407407407409E-3</c:v>
                </c:pt>
                <c:pt idx="1">
                  <c:v>6.4732142857142861E-3</c:v>
                </c:pt>
                <c:pt idx="2">
                  <c:v>6.6145833333333334E-3</c:v>
                </c:pt>
                <c:pt idx="3">
                  <c:v>6.3576388888888892E-3</c:v>
                </c:pt>
                <c:pt idx="4">
                  <c:v>6.1550925925925922E-3</c:v>
                </c:pt>
                <c:pt idx="5">
                  <c:v>6.332671957671958E-3</c:v>
                </c:pt>
                <c:pt idx="6">
                  <c:v>6.8229166666666664E-3</c:v>
                </c:pt>
                <c:pt idx="7">
                  <c:v>6.1885683760683763E-3</c:v>
                </c:pt>
                <c:pt idx="8">
                  <c:v>6.5117521367521365E-3</c:v>
                </c:pt>
                <c:pt idx="9">
                  <c:v>6.2514467592592587E-3</c:v>
                </c:pt>
                <c:pt idx="10">
                  <c:v>6.0694444444444433E-3</c:v>
                </c:pt>
                <c:pt idx="11">
                  <c:v>6.377314814814814E-3</c:v>
                </c:pt>
              </c:numCache>
            </c:numRef>
          </c:val>
          <c:smooth val="0"/>
          <c:extLst>
            <c:ext xmlns:c16="http://schemas.microsoft.com/office/drawing/2014/chart" uri="{C3380CC4-5D6E-409C-BE32-E72D297353CC}">
              <c16:uniqueId val="{00000003-8120-41C6-92D8-BAE43FD874D0}"/>
            </c:ext>
          </c:extLst>
        </c:ser>
        <c:dLbls>
          <c:showLegendKey val="0"/>
          <c:showVal val="0"/>
          <c:showCatName val="0"/>
          <c:showSerName val="0"/>
          <c:showPercent val="0"/>
          <c:showBubbleSize val="0"/>
        </c:dLbls>
        <c:marker val="1"/>
        <c:smooth val="0"/>
        <c:axId val="1105544607"/>
        <c:axId val="1105541247"/>
      </c:lineChart>
      <c:catAx>
        <c:axId val="1105544607"/>
        <c:scaling>
          <c:orientation val="minMax"/>
        </c:scaling>
        <c:delete val="0"/>
        <c:axPos val="b"/>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41247"/>
        <c:crosses val="max"/>
        <c:auto val="1"/>
        <c:lblAlgn val="ctr"/>
        <c:lblOffset val="100"/>
        <c:noMultiLvlLbl val="0"/>
      </c:catAx>
      <c:valAx>
        <c:axId val="1105541247"/>
        <c:scaling>
          <c:orientation val="maxMin"/>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Pace (min/mi)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44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[RunTracker.xlsx]Pivot Analysis!ptMonthlyDistance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Running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9D8F"/>
          </a:solidFill>
          <a:ln w="12700">
            <a:solidFill>
              <a:srgbClr val="24344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Analysis'!$K$4</c:f>
              <c:strCache>
                <c:ptCount val="1"/>
                <c:pt idx="0">
                  <c:v>Total</c:v>
                </c:pt>
              </c:strCache>
            </c:strRef>
          </c:tx>
          <c:spPr>
            <a:solidFill>
              <a:srgbClr val="2A9D8F"/>
            </a:solidFill>
            <a:ln w="12700">
              <a:solidFill>
                <a:srgbClr val="243447"/>
              </a:solidFill>
            </a:ln>
            <a:effectLst/>
          </c:spPr>
          <c:invertIfNegative val="0"/>
          <c:cat>
            <c:strRef>
              <c:f>'Pivot Analysis'!$J$5:$J$16</c:f>
              <c:strCache>
                <c:ptCount val="12"/>
                <c:pt idx="0">
                  <c:v>Aug 2025</c:v>
                </c:pt>
                <c:pt idx="1">
                  <c:v>Sep 2025</c:v>
                </c:pt>
                <c:pt idx="2">
                  <c:v>Oct 2025</c:v>
                </c:pt>
                <c:pt idx="3">
                  <c:v>Nov 2025</c:v>
                </c:pt>
                <c:pt idx="4">
                  <c:v>Dec 2025</c:v>
                </c:pt>
                <c:pt idx="5">
                  <c:v>Jan 2026</c:v>
                </c:pt>
                <c:pt idx="6">
                  <c:v>Feb 2026</c:v>
                </c:pt>
                <c:pt idx="7">
                  <c:v>Mar 2026</c:v>
                </c:pt>
                <c:pt idx="8">
                  <c:v>Apr 2026</c:v>
                </c:pt>
                <c:pt idx="9">
                  <c:v>May 2026</c:v>
                </c:pt>
                <c:pt idx="10">
                  <c:v>Jun 2026</c:v>
                </c:pt>
                <c:pt idx="11">
                  <c:v>Jul 2026</c:v>
                </c:pt>
              </c:strCache>
            </c:strRef>
          </c:cat>
          <c:val>
            <c:numRef>
              <c:f>'Pivot Analysis'!$K$5:$K$16</c:f>
              <c:numCache>
                <c:formatCode>0.00</c:formatCode>
                <c:ptCount val="12"/>
                <c:pt idx="0">
                  <c:v>15.020000000000001</c:v>
                </c:pt>
                <c:pt idx="1">
                  <c:v>20.440000000000001</c:v>
                </c:pt>
                <c:pt idx="2">
                  <c:v>36.46</c:v>
                </c:pt>
                <c:pt idx="3">
                  <c:v>31.159999999999997</c:v>
                </c:pt>
                <c:pt idx="4">
                  <c:v>16.490000000000002</c:v>
                </c:pt>
                <c:pt idx="5">
                  <c:v>29.099999999999998</c:v>
                </c:pt>
                <c:pt idx="6">
                  <c:v>17.350000000000001</c:v>
                </c:pt>
                <c:pt idx="7">
                  <c:v>51.749999999999993</c:v>
                </c:pt>
                <c:pt idx="8">
                  <c:v>49.42</c:v>
                </c:pt>
                <c:pt idx="9">
                  <c:v>32.51</c:v>
                </c:pt>
                <c:pt idx="10">
                  <c:v>46.3</c:v>
                </c:pt>
                <c:pt idx="11">
                  <c:v>23.299999999999997</c:v>
                </c:pt>
              </c:numCache>
            </c:numRef>
          </c:val>
          <c:extLst>
            <c:ext xmlns:c16="http://schemas.microsoft.com/office/drawing/2014/chart" uri="{C3380CC4-5D6E-409C-BE32-E72D297353CC}">
              <c16:uniqueId val="{00000003-EC1E-4F02-A5D0-4D2A70FA08AF}"/>
            </c:ext>
          </c:extLst>
        </c:ser>
        <c:dLbls>
          <c:showLegendKey val="0"/>
          <c:showVal val="0"/>
          <c:showCatName val="0"/>
          <c:showSerName val="0"/>
          <c:showPercent val="0"/>
          <c:showBubbleSize val="0"/>
        </c:dLbls>
        <c:gapWidth val="75"/>
        <c:overlap val="-27"/>
        <c:axId val="1248847679"/>
        <c:axId val="1248846719"/>
      </c:barChart>
      <c:catAx>
        <c:axId val="1248847679"/>
        <c:scaling>
          <c:orientation val="minMax"/>
        </c:scaling>
        <c:delete val="0"/>
        <c:axPos val="b"/>
        <c:numFmt formatCode="mmm\ yy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46719"/>
        <c:crosses val="autoZero"/>
        <c:auto val="1"/>
        <c:lblAlgn val="ctr"/>
        <c:lblOffset val="100"/>
        <c:noMultiLvlLbl val="0"/>
      </c:catAx>
      <c:valAx>
        <c:axId val="1248846719"/>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Distance (mi)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884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 vs. Pace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Runs</c:v>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rgbClr val="2A9D8F"/>
                </a:solidFill>
                <a:prstDash val="sysDot"/>
              </a:ln>
              <a:effectLst/>
            </c:spPr>
            <c:trendlineType val="linear"/>
            <c:dispRSqr val="0"/>
            <c:dispEq val="0"/>
          </c:trendline>
          <c:xVal>
            <c:numRef>
              <c:f>Runs!$D$10:$D$112</c:f>
              <c:numCache>
                <c:formatCode>0.00</c:formatCode>
                <c:ptCount val="103"/>
                <c:pt idx="0">
                  <c:v>4.09</c:v>
                </c:pt>
                <c:pt idx="1">
                  <c:v>4.2</c:v>
                </c:pt>
                <c:pt idx="2">
                  <c:v>2.4500000000000002</c:v>
                </c:pt>
                <c:pt idx="3">
                  <c:v>3.97</c:v>
                </c:pt>
                <c:pt idx="4">
                  <c:v>4.21</c:v>
                </c:pt>
                <c:pt idx="5">
                  <c:v>4.38</c:v>
                </c:pt>
                <c:pt idx="6">
                  <c:v>2.57</c:v>
                </c:pt>
                <c:pt idx="7">
                  <c:v>4.1900000000000004</c:v>
                </c:pt>
                <c:pt idx="8">
                  <c:v>4.29</c:v>
                </c:pt>
                <c:pt idx="9">
                  <c:v>1.58</c:v>
                </c:pt>
                <c:pt idx="10">
                  <c:v>4.05</c:v>
                </c:pt>
                <c:pt idx="11">
                  <c:v>2.98</c:v>
                </c:pt>
                <c:pt idx="12">
                  <c:v>2.63</c:v>
                </c:pt>
                <c:pt idx="13">
                  <c:v>2.9</c:v>
                </c:pt>
                <c:pt idx="14">
                  <c:v>1.53</c:v>
                </c:pt>
                <c:pt idx="15">
                  <c:v>2.2599999999999998</c:v>
                </c:pt>
                <c:pt idx="16">
                  <c:v>2.79</c:v>
                </c:pt>
                <c:pt idx="17">
                  <c:v>4.42</c:v>
                </c:pt>
                <c:pt idx="18">
                  <c:v>2.97</c:v>
                </c:pt>
                <c:pt idx="19">
                  <c:v>2.62</c:v>
                </c:pt>
                <c:pt idx="20">
                  <c:v>4.5199999999999996</c:v>
                </c:pt>
                <c:pt idx="21">
                  <c:v>4.54</c:v>
                </c:pt>
                <c:pt idx="22">
                  <c:v>4.0599999999999996</c:v>
                </c:pt>
                <c:pt idx="23">
                  <c:v>4.1399999999999997</c:v>
                </c:pt>
                <c:pt idx="24">
                  <c:v>2.81</c:v>
                </c:pt>
                <c:pt idx="25">
                  <c:v>4.34</c:v>
                </c:pt>
                <c:pt idx="26">
                  <c:v>4.46</c:v>
                </c:pt>
                <c:pt idx="27">
                  <c:v>4.18</c:v>
                </c:pt>
                <c:pt idx="28">
                  <c:v>3.98</c:v>
                </c:pt>
                <c:pt idx="29">
                  <c:v>3.97</c:v>
                </c:pt>
                <c:pt idx="30">
                  <c:v>2.74</c:v>
                </c:pt>
                <c:pt idx="31">
                  <c:v>5.62</c:v>
                </c:pt>
                <c:pt idx="32">
                  <c:v>1.7</c:v>
                </c:pt>
                <c:pt idx="33">
                  <c:v>4.43</c:v>
                </c:pt>
                <c:pt idx="34">
                  <c:v>4.58</c:v>
                </c:pt>
                <c:pt idx="35">
                  <c:v>4.54</c:v>
                </c:pt>
                <c:pt idx="36">
                  <c:v>2.99</c:v>
                </c:pt>
                <c:pt idx="37">
                  <c:v>5.64</c:v>
                </c:pt>
                <c:pt idx="38">
                  <c:v>1.23</c:v>
                </c:pt>
                <c:pt idx="39">
                  <c:v>4.63</c:v>
                </c:pt>
                <c:pt idx="40">
                  <c:v>4.54</c:v>
                </c:pt>
                <c:pt idx="41">
                  <c:v>2.81</c:v>
                </c:pt>
                <c:pt idx="42">
                  <c:v>4.58</c:v>
                </c:pt>
                <c:pt idx="43">
                  <c:v>4.6100000000000003</c:v>
                </c:pt>
                <c:pt idx="44">
                  <c:v>4.5999999999999996</c:v>
                </c:pt>
                <c:pt idx="45">
                  <c:v>4.68</c:v>
                </c:pt>
                <c:pt idx="46">
                  <c:v>4.5599999999999996</c:v>
                </c:pt>
                <c:pt idx="47">
                  <c:v>4.63</c:v>
                </c:pt>
                <c:pt idx="48">
                  <c:v>2.94</c:v>
                </c:pt>
                <c:pt idx="49">
                  <c:v>2.99</c:v>
                </c:pt>
                <c:pt idx="50">
                  <c:v>2.9</c:v>
                </c:pt>
                <c:pt idx="51">
                  <c:v>3.01</c:v>
                </c:pt>
                <c:pt idx="52">
                  <c:v>3.05</c:v>
                </c:pt>
                <c:pt idx="53">
                  <c:v>4.57</c:v>
                </c:pt>
                <c:pt idx="54">
                  <c:v>4.63</c:v>
                </c:pt>
                <c:pt idx="55">
                  <c:v>3.61</c:v>
                </c:pt>
                <c:pt idx="56">
                  <c:v>4.6100000000000003</c:v>
                </c:pt>
                <c:pt idx="57">
                  <c:v>4.6100000000000003</c:v>
                </c:pt>
                <c:pt idx="58">
                  <c:v>4.5199999999999996</c:v>
                </c:pt>
                <c:pt idx="59">
                  <c:v>4.6100000000000003</c:v>
                </c:pt>
                <c:pt idx="60">
                  <c:v>4.63</c:v>
                </c:pt>
                <c:pt idx="61">
                  <c:v>4.6100000000000003</c:v>
                </c:pt>
                <c:pt idx="62">
                  <c:v>4.66</c:v>
                </c:pt>
                <c:pt idx="63">
                  <c:v>2.97</c:v>
                </c:pt>
                <c:pt idx="64">
                  <c:v>4.72</c:v>
                </c:pt>
                <c:pt idx="65">
                  <c:v>2.9</c:v>
                </c:pt>
                <c:pt idx="66">
                  <c:v>4.68</c:v>
                </c:pt>
                <c:pt idx="67">
                  <c:v>2.95</c:v>
                </c:pt>
                <c:pt idx="68">
                  <c:v>3.02</c:v>
                </c:pt>
                <c:pt idx="69">
                  <c:v>2.93</c:v>
                </c:pt>
                <c:pt idx="70">
                  <c:v>2.91</c:v>
                </c:pt>
                <c:pt idx="71">
                  <c:v>4.6500000000000004</c:v>
                </c:pt>
                <c:pt idx="72">
                  <c:v>2.98</c:v>
                </c:pt>
                <c:pt idx="73">
                  <c:v>2.98</c:v>
                </c:pt>
                <c:pt idx="74">
                  <c:v>2.92</c:v>
                </c:pt>
                <c:pt idx="75">
                  <c:v>3.56</c:v>
                </c:pt>
                <c:pt idx="76">
                  <c:v>2.98</c:v>
                </c:pt>
                <c:pt idx="77">
                  <c:v>3.01</c:v>
                </c:pt>
                <c:pt idx="78">
                  <c:v>2.13</c:v>
                </c:pt>
                <c:pt idx="79">
                  <c:v>2.96</c:v>
                </c:pt>
                <c:pt idx="80">
                  <c:v>2.99</c:v>
                </c:pt>
                <c:pt idx="81">
                  <c:v>3</c:v>
                </c:pt>
                <c:pt idx="82">
                  <c:v>2.98</c:v>
                </c:pt>
                <c:pt idx="83">
                  <c:v>3.01</c:v>
                </c:pt>
                <c:pt idx="84">
                  <c:v>2.97</c:v>
                </c:pt>
                <c:pt idx="85">
                  <c:v>4.63</c:v>
                </c:pt>
                <c:pt idx="86">
                  <c:v>2.97</c:v>
                </c:pt>
                <c:pt idx="87">
                  <c:v>4.8099999999999996</c:v>
                </c:pt>
                <c:pt idx="88">
                  <c:v>4.66</c:v>
                </c:pt>
                <c:pt idx="89">
                  <c:v>4.54</c:v>
                </c:pt>
                <c:pt idx="90">
                  <c:v>2.89</c:v>
                </c:pt>
                <c:pt idx="91">
                  <c:v>2.94</c:v>
                </c:pt>
                <c:pt idx="92">
                  <c:v>2.82</c:v>
                </c:pt>
                <c:pt idx="93">
                  <c:v>2.97</c:v>
                </c:pt>
                <c:pt idx="94">
                  <c:v>2.82</c:v>
                </c:pt>
                <c:pt idx="95">
                  <c:v>2.87</c:v>
                </c:pt>
                <c:pt idx="96">
                  <c:v>3.02</c:v>
                </c:pt>
                <c:pt idx="97">
                  <c:v>3</c:v>
                </c:pt>
                <c:pt idx="98">
                  <c:v>3.05</c:v>
                </c:pt>
                <c:pt idx="99">
                  <c:v>3</c:v>
                </c:pt>
                <c:pt idx="100">
                  <c:v>3.02</c:v>
                </c:pt>
                <c:pt idx="101">
                  <c:v>2.96</c:v>
                </c:pt>
                <c:pt idx="102">
                  <c:v>2.99</c:v>
                </c:pt>
              </c:numCache>
            </c:numRef>
          </c:xVal>
          <c:yVal>
            <c:numRef>
              <c:f>Runs!$E$10:$E$112</c:f>
              <c:numCache>
                <c:formatCode>m:ss</c:formatCode>
                <c:ptCount val="103"/>
                <c:pt idx="0">
                  <c:v>7.0486111111111114E-3</c:v>
                </c:pt>
                <c:pt idx="1">
                  <c:v>5.8564814814814816E-3</c:v>
                </c:pt>
                <c:pt idx="2">
                  <c:v>6.4004629629629628E-3</c:v>
                </c:pt>
                <c:pt idx="3">
                  <c:v>5.9953703703703714E-3</c:v>
                </c:pt>
                <c:pt idx="4">
                  <c:v>6.3657407407407404E-3</c:v>
                </c:pt>
                <c:pt idx="5">
                  <c:v>6.5972222222222222E-3</c:v>
                </c:pt>
                <c:pt idx="6">
                  <c:v>7.1064814814814819E-3</c:v>
                </c:pt>
                <c:pt idx="7">
                  <c:v>5.8564814814814816E-3</c:v>
                </c:pt>
                <c:pt idx="8">
                  <c:v>6.3425925925925924E-3</c:v>
                </c:pt>
                <c:pt idx="9">
                  <c:v>5.324074074074074E-3</c:v>
                </c:pt>
                <c:pt idx="10">
                  <c:v>6.2037037037037026E-3</c:v>
                </c:pt>
                <c:pt idx="11">
                  <c:v>6.4930555555555557E-3</c:v>
                </c:pt>
                <c:pt idx="12">
                  <c:v>5.6249999999999998E-3</c:v>
                </c:pt>
                <c:pt idx="13">
                  <c:v>5.6712962962962967E-3</c:v>
                </c:pt>
                <c:pt idx="14">
                  <c:v>5.347222222222222E-3</c:v>
                </c:pt>
                <c:pt idx="15">
                  <c:v>6.1342592592592586E-3</c:v>
                </c:pt>
                <c:pt idx="16">
                  <c:v>6.6319444444444446E-3</c:v>
                </c:pt>
                <c:pt idx="17">
                  <c:v>5.9143518518518521E-3</c:v>
                </c:pt>
                <c:pt idx="18">
                  <c:v>5.8796296296296296E-3</c:v>
                </c:pt>
                <c:pt idx="19">
                  <c:v>6.3310185185185188E-3</c:v>
                </c:pt>
                <c:pt idx="20">
                  <c:v>6.1805555555555546E-3</c:v>
                </c:pt>
                <c:pt idx="21">
                  <c:v>6.0185185185185194E-3</c:v>
                </c:pt>
                <c:pt idx="22">
                  <c:v>6.2500000000000003E-3</c:v>
                </c:pt>
                <c:pt idx="23">
                  <c:v>6.2152777777777779E-3</c:v>
                </c:pt>
                <c:pt idx="24">
                  <c:v>6.0069444444444441E-3</c:v>
                </c:pt>
                <c:pt idx="25">
                  <c:v>6.3194444444444444E-3</c:v>
                </c:pt>
                <c:pt idx="26">
                  <c:v>6.1111111111111114E-3</c:v>
                </c:pt>
                <c:pt idx="27">
                  <c:v>6.6435185185185182E-3</c:v>
                </c:pt>
                <c:pt idx="28">
                  <c:v>6.4467592592592588E-3</c:v>
                </c:pt>
                <c:pt idx="29">
                  <c:v>6.7476851851851864E-3</c:v>
                </c:pt>
                <c:pt idx="30">
                  <c:v>6.0416666666666674E-3</c:v>
                </c:pt>
                <c:pt idx="31">
                  <c:v>6.0416666666666674E-3</c:v>
                </c:pt>
                <c:pt idx="32">
                  <c:v>6.5046296296296293E-3</c:v>
                </c:pt>
                <c:pt idx="33">
                  <c:v>6.7013888888888887E-3</c:v>
                </c:pt>
                <c:pt idx="34">
                  <c:v>5.9490740740740754E-3</c:v>
                </c:pt>
                <c:pt idx="35">
                  <c:v>6.030092592592593E-3</c:v>
                </c:pt>
                <c:pt idx="36">
                  <c:v>5.8217592592592592E-3</c:v>
                </c:pt>
                <c:pt idx="37">
                  <c:v>9.4675925925925934E-3</c:v>
                </c:pt>
                <c:pt idx="38">
                  <c:v>6.5624999999999998E-3</c:v>
                </c:pt>
                <c:pt idx="39">
                  <c:v>6.4351851851851853E-3</c:v>
                </c:pt>
                <c:pt idx="40">
                  <c:v>6.053240740740741E-3</c:v>
                </c:pt>
                <c:pt idx="41">
                  <c:v>6.2962962962962964E-3</c:v>
                </c:pt>
                <c:pt idx="42">
                  <c:v>6.0879629629629634E-3</c:v>
                </c:pt>
                <c:pt idx="43">
                  <c:v>6.8055555555555551E-3</c:v>
                </c:pt>
                <c:pt idx="44">
                  <c:v>6.0185185185185194E-3</c:v>
                </c:pt>
                <c:pt idx="45">
                  <c:v>6.1574074074074066E-3</c:v>
                </c:pt>
                <c:pt idx="46">
                  <c:v>6.0648148148148154E-3</c:v>
                </c:pt>
                <c:pt idx="47">
                  <c:v>6.2847222222222219E-3</c:v>
                </c:pt>
                <c:pt idx="48">
                  <c:v>5.6944444444444447E-3</c:v>
                </c:pt>
                <c:pt idx="49">
                  <c:v>6.3194444444444444E-3</c:v>
                </c:pt>
                <c:pt idx="50">
                  <c:v>6.5046296296296293E-3</c:v>
                </c:pt>
                <c:pt idx="51">
                  <c:v>6.2847222222222219E-3</c:v>
                </c:pt>
                <c:pt idx="52">
                  <c:v>5.4861111111111109E-3</c:v>
                </c:pt>
                <c:pt idx="53">
                  <c:v>6.2500000000000003E-3</c:v>
                </c:pt>
                <c:pt idx="54">
                  <c:v>6.4930555555555557E-3</c:v>
                </c:pt>
                <c:pt idx="55">
                  <c:v>7.4652777777777781E-3</c:v>
                </c:pt>
                <c:pt idx="56">
                  <c:v>5.9722222222222234E-3</c:v>
                </c:pt>
                <c:pt idx="57">
                  <c:v>5.8333333333333336E-3</c:v>
                </c:pt>
                <c:pt idx="58">
                  <c:v>8.0208333333333329E-3</c:v>
                </c:pt>
                <c:pt idx="59">
                  <c:v>5.9722222222222234E-3</c:v>
                </c:pt>
                <c:pt idx="60">
                  <c:v>6.122685185185185E-3</c:v>
                </c:pt>
                <c:pt idx="61">
                  <c:v>6.2731481481481484E-3</c:v>
                </c:pt>
                <c:pt idx="62">
                  <c:v>6.3425925925925924E-3</c:v>
                </c:pt>
                <c:pt idx="63">
                  <c:v>6.3078703703703708E-3</c:v>
                </c:pt>
                <c:pt idx="64">
                  <c:v>6.6203703703703702E-3</c:v>
                </c:pt>
                <c:pt idx="65">
                  <c:v>6.6898148148148151E-3</c:v>
                </c:pt>
                <c:pt idx="66">
                  <c:v>6.4004629629629628E-3</c:v>
                </c:pt>
                <c:pt idx="67">
                  <c:v>5.9259259259259256E-3</c:v>
                </c:pt>
                <c:pt idx="68">
                  <c:v>6.4699074074074077E-3</c:v>
                </c:pt>
                <c:pt idx="69">
                  <c:v>6.0416666666666674E-3</c:v>
                </c:pt>
                <c:pt idx="70">
                  <c:v>5.9375000000000001E-3</c:v>
                </c:pt>
                <c:pt idx="71">
                  <c:v>6.1342592592592586E-3</c:v>
                </c:pt>
                <c:pt idx="72">
                  <c:v>6.3541666666666668E-3</c:v>
                </c:pt>
                <c:pt idx="73">
                  <c:v>6.1111111111111114E-3</c:v>
                </c:pt>
                <c:pt idx="74">
                  <c:v>7.3842592592592597E-3</c:v>
                </c:pt>
                <c:pt idx="75">
                  <c:v>6.1805555555555546E-3</c:v>
                </c:pt>
                <c:pt idx="76">
                  <c:v>6.8171296296296296E-3</c:v>
                </c:pt>
                <c:pt idx="77">
                  <c:v>6.145833333333333E-3</c:v>
                </c:pt>
                <c:pt idx="78">
                  <c:v>6.7824074074074071E-3</c:v>
                </c:pt>
                <c:pt idx="79">
                  <c:v>6.0185185185185194E-3</c:v>
                </c:pt>
                <c:pt idx="80">
                  <c:v>5.6481481481481478E-3</c:v>
                </c:pt>
                <c:pt idx="81">
                  <c:v>6.2731481481481484E-3</c:v>
                </c:pt>
                <c:pt idx="82">
                  <c:v>6.4814814814814813E-3</c:v>
                </c:pt>
                <c:pt idx="83">
                  <c:v>5.9027777777777776E-3</c:v>
                </c:pt>
                <c:pt idx="84">
                  <c:v>5.8912037037037041E-3</c:v>
                </c:pt>
                <c:pt idx="85">
                  <c:v>6.7013888888888887E-3</c:v>
                </c:pt>
                <c:pt idx="86">
                  <c:v>6.145833333333333E-3</c:v>
                </c:pt>
                <c:pt idx="87">
                  <c:v>7.6736111111111111E-3</c:v>
                </c:pt>
                <c:pt idx="88">
                  <c:v>7.766203703703704E-3</c:v>
                </c:pt>
                <c:pt idx="89">
                  <c:v>6.5740740740740742E-3</c:v>
                </c:pt>
                <c:pt idx="90">
                  <c:v>6.7361111111111111E-3</c:v>
                </c:pt>
                <c:pt idx="91">
                  <c:v>7.060185185185185E-3</c:v>
                </c:pt>
                <c:pt idx="92">
                  <c:v>6.3888888888888893E-3</c:v>
                </c:pt>
                <c:pt idx="93">
                  <c:v>6.4930555555555557E-3</c:v>
                </c:pt>
                <c:pt idx="94">
                  <c:v>6.2615740740740739E-3</c:v>
                </c:pt>
                <c:pt idx="95">
                  <c:v>6.9560185185185176E-3</c:v>
                </c:pt>
                <c:pt idx="96">
                  <c:v>6.1689814814814819E-3</c:v>
                </c:pt>
                <c:pt idx="97">
                  <c:v>5.9837962962962961E-3</c:v>
                </c:pt>
                <c:pt idx="98">
                  <c:v>6.0185185185185194E-3</c:v>
                </c:pt>
                <c:pt idx="99">
                  <c:v>5.9953703703703714E-3</c:v>
                </c:pt>
                <c:pt idx="100">
                  <c:v>6.3194444444444444E-3</c:v>
                </c:pt>
                <c:pt idx="101">
                  <c:v>5.7986111111111112E-3</c:v>
                </c:pt>
                <c:pt idx="102">
                  <c:v>5.5092592592592589E-3</c:v>
                </c:pt>
              </c:numCache>
            </c:numRef>
          </c:yVal>
          <c:smooth val="0"/>
          <c:extLst>
            <c:ext xmlns:c16="http://schemas.microsoft.com/office/drawing/2014/chart" uri="{C3380CC4-5D6E-409C-BE32-E72D297353CC}">
              <c16:uniqueId val="{00000000-BFB0-48A3-AADE-37FE6C2E1BF4}"/>
            </c:ext>
          </c:extLst>
        </c:ser>
        <c:dLbls>
          <c:showLegendKey val="0"/>
          <c:showVal val="0"/>
          <c:showCatName val="0"/>
          <c:showSerName val="0"/>
          <c:showPercent val="0"/>
          <c:showBubbleSize val="0"/>
        </c:dLbls>
        <c:axId val="95670559"/>
        <c:axId val="95671999"/>
      </c:scatterChart>
      <c:valAx>
        <c:axId val="956705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 (mi)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1999"/>
        <c:crosses val="max"/>
        <c:crossBetween val="midCat"/>
      </c:valAx>
      <c:valAx>
        <c:axId val="95671999"/>
        <c:scaling>
          <c:orientation val="maxMin"/>
          <c:max val="1.0000000000000002E-2"/>
          <c:min val="4.170000000000001E-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Pace (min/mi)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ss"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670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Temperature vs. Pace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Runs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rgbClr val="2A9D8F"/>
                </a:solidFill>
                <a:prstDash val="sysDot"/>
              </a:ln>
              <a:effectLst/>
            </c:spPr>
            <c:trendlineType val="linear"/>
            <c:dispRSqr val="0"/>
            <c:dispEq val="0"/>
          </c:trendline>
          <c:xVal>
            <c:numRef>
              <c:f>Runs!$H$10:$H$112</c:f>
              <c:numCache>
                <c:formatCode>0</c:formatCode>
                <c:ptCount val="103"/>
                <c:pt idx="0">
                  <c:v>91</c:v>
                </c:pt>
                <c:pt idx="1">
                  <c:v>86</c:v>
                </c:pt>
                <c:pt idx="2">
                  <c:v>88</c:v>
                </c:pt>
                <c:pt idx="3">
                  <c:v>85</c:v>
                </c:pt>
                <c:pt idx="4">
                  <c:v>83</c:v>
                </c:pt>
                <c:pt idx="5">
                  <c:v>85</c:v>
                </c:pt>
                <c:pt idx="6">
                  <c:v>89</c:v>
                </c:pt>
                <c:pt idx="7">
                  <c:v>89</c:v>
                </c:pt>
                <c:pt idx="8">
                  <c:v>87</c:v>
                </c:pt>
                <c:pt idx="9">
                  <c:v>85</c:v>
                </c:pt>
                <c:pt idx="10">
                  <c:v>88</c:v>
                </c:pt>
                <c:pt idx="11">
                  <c:v>89</c:v>
                </c:pt>
                <c:pt idx="12">
                  <c:v>86</c:v>
                </c:pt>
                <c:pt idx="13">
                  <c:v>77</c:v>
                </c:pt>
                <c:pt idx="14">
                  <c:v>83</c:v>
                </c:pt>
                <c:pt idx="15">
                  <c:v>79</c:v>
                </c:pt>
                <c:pt idx="16">
                  <c:v>84</c:v>
                </c:pt>
                <c:pt idx="17">
                  <c:v>83</c:v>
                </c:pt>
                <c:pt idx="18">
                  <c:v>81</c:v>
                </c:pt>
                <c:pt idx="19">
                  <c:v>80</c:v>
                </c:pt>
                <c:pt idx="20">
                  <c:v>79</c:v>
                </c:pt>
                <c:pt idx="21">
                  <c:v>81</c:v>
                </c:pt>
                <c:pt idx="22">
                  <c:v>81</c:v>
                </c:pt>
                <c:pt idx="23">
                  <c:v>76</c:v>
                </c:pt>
                <c:pt idx="24">
                  <c:v>80</c:v>
                </c:pt>
                <c:pt idx="25">
                  <c:v>81</c:v>
                </c:pt>
                <c:pt idx="26">
                  <c:v>80</c:v>
                </c:pt>
                <c:pt idx="27">
                  <c:v>78</c:v>
                </c:pt>
                <c:pt idx="28">
                  <c:v>76</c:v>
                </c:pt>
                <c:pt idx="29">
                  <c:v>84</c:v>
                </c:pt>
                <c:pt idx="30">
                  <c:v>80</c:v>
                </c:pt>
                <c:pt idx="31">
                  <c:v>82</c:v>
                </c:pt>
                <c:pt idx="32">
                  <c:v>76</c:v>
                </c:pt>
                <c:pt idx="33">
                  <c:v>77</c:v>
                </c:pt>
                <c:pt idx="34">
                  <c:v>78</c:v>
                </c:pt>
                <c:pt idx="35">
                  <c:v>75</c:v>
                </c:pt>
                <c:pt idx="36">
                  <c:v>80</c:v>
                </c:pt>
                <c:pt idx="37">
                  <c:v>81</c:v>
                </c:pt>
                <c:pt idx="38">
                  <c:v>81</c:v>
                </c:pt>
                <c:pt idx="39">
                  <c:v>78</c:v>
                </c:pt>
                <c:pt idx="40">
                  <c:v>71</c:v>
                </c:pt>
                <c:pt idx="41">
                  <c:v>80</c:v>
                </c:pt>
                <c:pt idx="42">
                  <c:v>75</c:v>
                </c:pt>
                <c:pt idx="43">
                  <c:v>83</c:v>
                </c:pt>
                <c:pt idx="44">
                  <c:v>80</c:v>
                </c:pt>
                <c:pt idx="45">
                  <c:v>82</c:v>
                </c:pt>
                <c:pt idx="46">
                  <c:v>71</c:v>
                </c:pt>
                <c:pt idx="47">
                  <c:v>53</c:v>
                </c:pt>
                <c:pt idx="48">
                  <c:v>70</c:v>
                </c:pt>
                <c:pt idx="49">
                  <c:v>72</c:v>
                </c:pt>
                <c:pt idx="50">
                  <c:v>77</c:v>
                </c:pt>
                <c:pt idx="51">
                  <c:v>77</c:v>
                </c:pt>
                <c:pt idx="52">
                  <c:v>77</c:v>
                </c:pt>
                <c:pt idx="53">
                  <c:v>77</c:v>
                </c:pt>
                <c:pt idx="54">
                  <c:v>76</c:v>
                </c:pt>
                <c:pt idx="55">
                  <c:v>71</c:v>
                </c:pt>
                <c:pt idx="56">
                  <c:v>75</c:v>
                </c:pt>
                <c:pt idx="57">
                  <c:v>60</c:v>
                </c:pt>
                <c:pt idx="58">
                  <c:v>67</c:v>
                </c:pt>
                <c:pt idx="59">
                  <c:v>57</c:v>
                </c:pt>
                <c:pt idx="60">
                  <c:v>49</c:v>
                </c:pt>
                <c:pt idx="61">
                  <c:v>41</c:v>
                </c:pt>
                <c:pt idx="62">
                  <c:v>70</c:v>
                </c:pt>
                <c:pt idx="63">
                  <c:v>67</c:v>
                </c:pt>
                <c:pt idx="64">
                  <c:v>54</c:v>
                </c:pt>
                <c:pt idx="65">
                  <c:v>66</c:v>
                </c:pt>
                <c:pt idx="66">
                  <c:v>63</c:v>
                </c:pt>
                <c:pt idx="67">
                  <c:v>62</c:v>
                </c:pt>
                <c:pt idx="68">
                  <c:v>58</c:v>
                </c:pt>
                <c:pt idx="69">
                  <c:v>71</c:v>
                </c:pt>
                <c:pt idx="70">
                  <c:v>56</c:v>
                </c:pt>
                <c:pt idx="71">
                  <c:v>56</c:v>
                </c:pt>
                <c:pt idx="72">
                  <c:v>68</c:v>
                </c:pt>
                <c:pt idx="73">
                  <c:v>79</c:v>
                </c:pt>
                <c:pt idx="74">
                  <c:v>75</c:v>
                </c:pt>
                <c:pt idx="75">
                  <c:v>79</c:v>
                </c:pt>
                <c:pt idx="76">
                  <c:v>78</c:v>
                </c:pt>
                <c:pt idx="77">
                  <c:v>79</c:v>
                </c:pt>
                <c:pt idx="78">
                  <c:v>70</c:v>
                </c:pt>
                <c:pt idx="79">
                  <c:v>69</c:v>
                </c:pt>
                <c:pt idx="80">
                  <c:v>65</c:v>
                </c:pt>
                <c:pt idx="81">
                  <c:v>59</c:v>
                </c:pt>
                <c:pt idx="82">
                  <c:v>61</c:v>
                </c:pt>
                <c:pt idx="83">
                  <c:v>74</c:v>
                </c:pt>
                <c:pt idx="84">
                  <c:v>77</c:v>
                </c:pt>
                <c:pt idx="85">
                  <c:v>76</c:v>
                </c:pt>
                <c:pt idx="86">
                  <c:v>75</c:v>
                </c:pt>
                <c:pt idx="87">
                  <c:v>82</c:v>
                </c:pt>
                <c:pt idx="88">
                  <c:v>84</c:v>
                </c:pt>
                <c:pt idx="89">
                  <c:v>83</c:v>
                </c:pt>
                <c:pt idx="90">
                  <c:v>81</c:v>
                </c:pt>
                <c:pt idx="91">
                  <c:v>82</c:v>
                </c:pt>
                <c:pt idx="92">
                  <c:v>86</c:v>
                </c:pt>
                <c:pt idx="93">
                  <c:v>85</c:v>
                </c:pt>
                <c:pt idx="94">
                  <c:v>86</c:v>
                </c:pt>
                <c:pt idx="95">
                  <c:v>82</c:v>
                </c:pt>
                <c:pt idx="96">
                  <c:v>81</c:v>
                </c:pt>
                <c:pt idx="97">
                  <c:v>84</c:v>
                </c:pt>
                <c:pt idx="98">
                  <c:v>77</c:v>
                </c:pt>
                <c:pt idx="99">
                  <c:v>85</c:v>
                </c:pt>
                <c:pt idx="100">
                  <c:v>84</c:v>
                </c:pt>
                <c:pt idx="101">
                  <c:v>87</c:v>
                </c:pt>
                <c:pt idx="102">
                  <c:v>91</c:v>
                </c:pt>
              </c:numCache>
            </c:numRef>
          </c:xVal>
          <c:yVal>
            <c:numRef>
              <c:f>Runs!$E$10:$E$112</c:f>
              <c:numCache>
                <c:formatCode>m:ss</c:formatCode>
                <c:ptCount val="103"/>
                <c:pt idx="0">
                  <c:v>7.0486111111111114E-3</c:v>
                </c:pt>
                <c:pt idx="1">
                  <c:v>5.8564814814814816E-3</c:v>
                </c:pt>
                <c:pt idx="2">
                  <c:v>6.4004629629629628E-3</c:v>
                </c:pt>
                <c:pt idx="3">
                  <c:v>5.9953703703703714E-3</c:v>
                </c:pt>
                <c:pt idx="4">
                  <c:v>6.3657407407407404E-3</c:v>
                </c:pt>
                <c:pt idx="5">
                  <c:v>6.5972222222222222E-3</c:v>
                </c:pt>
                <c:pt idx="6">
                  <c:v>7.1064814814814819E-3</c:v>
                </c:pt>
                <c:pt idx="7">
                  <c:v>5.8564814814814816E-3</c:v>
                </c:pt>
                <c:pt idx="8">
                  <c:v>6.3425925925925924E-3</c:v>
                </c:pt>
                <c:pt idx="9">
                  <c:v>5.324074074074074E-3</c:v>
                </c:pt>
                <c:pt idx="10">
                  <c:v>6.2037037037037026E-3</c:v>
                </c:pt>
                <c:pt idx="11">
                  <c:v>6.4930555555555557E-3</c:v>
                </c:pt>
                <c:pt idx="12">
                  <c:v>5.6249999999999998E-3</c:v>
                </c:pt>
                <c:pt idx="13">
                  <c:v>5.6712962962962967E-3</c:v>
                </c:pt>
                <c:pt idx="14">
                  <c:v>5.347222222222222E-3</c:v>
                </c:pt>
                <c:pt idx="15">
                  <c:v>6.1342592592592586E-3</c:v>
                </c:pt>
                <c:pt idx="16">
                  <c:v>6.6319444444444446E-3</c:v>
                </c:pt>
                <c:pt idx="17">
                  <c:v>5.9143518518518521E-3</c:v>
                </c:pt>
                <c:pt idx="18">
                  <c:v>5.8796296296296296E-3</c:v>
                </c:pt>
                <c:pt idx="19">
                  <c:v>6.3310185185185188E-3</c:v>
                </c:pt>
                <c:pt idx="20">
                  <c:v>6.1805555555555546E-3</c:v>
                </c:pt>
                <c:pt idx="21">
                  <c:v>6.0185185185185194E-3</c:v>
                </c:pt>
                <c:pt idx="22">
                  <c:v>6.2500000000000003E-3</c:v>
                </c:pt>
                <c:pt idx="23">
                  <c:v>6.2152777777777779E-3</c:v>
                </c:pt>
                <c:pt idx="24">
                  <c:v>6.0069444444444441E-3</c:v>
                </c:pt>
                <c:pt idx="25">
                  <c:v>6.3194444444444444E-3</c:v>
                </c:pt>
                <c:pt idx="26">
                  <c:v>6.1111111111111114E-3</c:v>
                </c:pt>
                <c:pt idx="27">
                  <c:v>6.6435185185185182E-3</c:v>
                </c:pt>
                <c:pt idx="28">
                  <c:v>6.4467592592592588E-3</c:v>
                </c:pt>
                <c:pt idx="29">
                  <c:v>6.7476851851851864E-3</c:v>
                </c:pt>
                <c:pt idx="30">
                  <c:v>6.0416666666666674E-3</c:v>
                </c:pt>
                <c:pt idx="31">
                  <c:v>6.0416666666666674E-3</c:v>
                </c:pt>
                <c:pt idx="32">
                  <c:v>6.5046296296296293E-3</c:v>
                </c:pt>
                <c:pt idx="33">
                  <c:v>6.7013888888888887E-3</c:v>
                </c:pt>
                <c:pt idx="34">
                  <c:v>5.9490740740740754E-3</c:v>
                </c:pt>
                <c:pt idx="35">
                  <c:v>6.030092592592593E-3</c:v>
                </c:pt>
                <c:pt idx="36">
                  <c:v>5.8217592592592592E-3</c:v>
                </c:pt>
                <c:pt idx="37">
                  <c:v>9.4675925925925934E-3</c:v>
                </c:pt>
                <c:pt idx="38">
                  <c:v>6.5624999999999998E-3</c:v>
                </c:pt>
                <c:pt idx="39">
                  <c:v>6.4351851851851853E-3</c:v>
                </c:pt>
                <c:pt idx="40">
                  <c:v>6.053240740740741E-3</c:v>
                </c:pt>
                <c:pt idx="41">
                  <c:v>6.2962962962962964E-3</c:v>
                </c:pt>
                <c:pt idx="42">
                  <c:v>6.0879629629629634E-3</c:v>
                </c:pt>
                <c:pt idx="43">
                  <c:v>6.8055555555555551E-3</c:v>
                </c:pt>
                <c:pt idx="44">
                  <c:v>6.0185185185185194E-3</c:v>
                </c:pt>
                <c:pt idx="45">
                  <c:v>6.1574074074074066E-3</c:v>
                </c:pt>
                <c:pt idx="46">
                  <c:v>6.0648148148148154E-3</c:v>
                </c:pt>
                <c:pt idx="47">
                  <c:v>6.2847222222222219E-3</c:v>
                </c:pt>
                <c:pt idx="48">
                  <c:v>5.6944444444444447E-3</c:v>
                </c:pt>
                <c:pt idx="49">
                  <c:v>6.3194444444444444E-3</c:v>
                </c:pt>
                <c:pt idx="50">
                  <c:v>6.5046296296296293E-3</c:v>
                </c:pt>
                <c:pt idx="51">
                  <c:v>6.2847222222222219E-3</c:v>
                </c:pt>
                <c:pt idx="52">
                  <c:v>5.4861111111111109E-3</c:v>
                </c:pt>
                <c:pt idx="53">
                  <c:v>6.2500000000000003E-3</c:v>
                </c:pt>
                <c:pt idx="54">
                  <c:v>6.4930555555555557E-3</c:v>
                </c:pt>
                <c:pt idx="55">
                  <c:v>7.4652777777777781E-3</c:v>
                </c:pt>
                <c:pt idx="56">
                  <c:v>5.9722222222222234E-3</c:v>
                </c:pt>
                <c:pt idx="57">
                  <c:v>5.8333333333333336E-3</c:v>
                </c:pt>
                <c:pt idx="58">
                  <c:v>8.0208333333333329E-3</c:v>
                </c:pt>
                <c:pt idx="59">
                  <c:v>5.9722222222222234E-3</c:v>
                </c:pt>
                <c:pt idx="60">
                  <c:v>6.122685185185185E-3</c:v>
                </c:pt>
                <c:pt idx="61">
                  <c:v>6.2731481481481484E-3</c:v>
                </c:pt>
                <c:pt idx="62">
                  <c:v>6.3425925925925924E-3</c:v>
                </c:pt>
                <c:pt idx="63">
                  <c:v>6.3078703703703708E-3</c:v>
                </c:pt>
                <c:pt idx="64">
                  <c:v>6.6203703703703702E-3</c:v>
                </c:pt>
                <c:pt idx="65">
                  <c:v>6.6898148148148151E-3</c:v>
                </c:pt>
                <c:pt idx="66">
                  <c:v>6.4004629629629628E-3</c:v>
                </c:pt>
                <c:pt idx="67">
                  <c:v>5.9259259259259256E-3</c:v>
                </c:pt>
                <c:pt idx="68">
                  <c:v>6.4699074074074077E-3</c:v>
                </c:pt>
                <c:pt idx="69">
                  <c:v>6.0416666666666674E-3</c:v>
                </c:pt>
                <c:pt idx="70">
                  <c:v>5.9375000000000001E-3</c:v>
                </c:pt>
                <c:pt idx="71">
                  <c:v>6.1342592592592586E-3</c:v>
                </c:pt>
                <c:pt idx="72">
                  <c:v>6.3541666666666668E-3</c:v>
                </c:pt>
                <c:pt idx="73">
                  <c:v>6.1111111111111114E-3</c:v>
                </c:pt>
                <c:pt idx="74">
                  <c:v>7.3842592592592597E-3</c:v>
                </c:pt>
                <c:pt idx="75">
                  <c:v>6.1805555555555546E-3</c:v>
                </c:pt>
                <c:pt idx="76">
                  <c:v>6.8171296296296296E-3</c:v>
                </c:pt>
                <c:pt idx="77">
                  <c:v>6.145833333333333E-3</c:v>
                </c:pt>
                <c:pt idx="78">
                  <c:v>6.7824074074074071E-3</c:v>
                </c:pt>
                <c:pt idx="79">
                  <c:v>6.0185185185185194E-3</c:v>
                </c:pt>
                <c:pt idx="80">
                  <c:v>5.6481481481481478E-3</c:v>
                </c:pt>
                <c:pt idx="81">
                  <c:v>6.2731481481481484E-3</c:v>
                </c:pt>
                <c:pt idx="82">
                  <c:v>6.4814814814814813E-3</c:v>
                </c:pt>
                <c:pt idx="83">
                  <c:v>5.9027777777777776E-3</c:v>
                </c:pt>
                <c:pt idx="84">
                  <c:v>5.8912037037037041E-3</c:v>
                </c:pt>
                <c:pt idx="85">
                  <c:v>6.7013888888888887E-3</c:v>
                </c:pt>
                <c:pt idx="86">
                  <c:v>6.145833333333333E-3</c:v>
                </c:pt>
                <c:pt idx="87">
                  <c:v>7.6736111111111111E-3</c:v>
                </c:pt>
                <c:pt idx="88">
                  <c:v>7.766203703703704E-3</c:v>
                </c:pt>
                <c:pt idx="89">
                  <c:v>6.5740740740740742E-3</c:v>
                </c:pt>
                <c:pt idx="90">
                  <c:v>6.7361111111111111E-3</c:v>
                </c:pt>
                <c:pt idx="91">
                  <c:v>7.060185185185185E-3</c:v>
                </c:pt>
                <c:pt idx="92">
                  <c:v>6.3888888888888893E-3</c:v>
                </c:pt>
                <c:pt idx="93">
                  <c:v>6.4930555555555557E-3</c:v>
                </c:pt>
                <c:pt idx="94">
                  <c:v>6.2615740740740739E-3</c:v>
                </c:pt>
                <c:pt idx="95">
                  <c:v>6.9560185185185176E-3</c:v>
                </c:pt>
                <c:pt idx="96">
                  <c:v>6.1689814814814819E-3</c:v>
                </c:pt>
                <c:pt idx="97">
                  <c:v>5.9837962962962961E-3</c:v>
                </c:pt>
                <c:pt idx="98">
                  <c:v>6.0185185185185194E-3</c:v>
                </c:pt>
                <c:pt idx="99">
                  <c:v>5.9953703703703714E-3</c:v>
                </c:pt>
                <c:pt idx="100">
                  <c:v>6.3194444444444444E-3</c:v>
                </c:pt>
                <c:pt idx="101">
                  <c:v>5.7986111111111112E-3</c:v>
                </c:pt>
                <c:pt idx="102">
                  <c:v>5.5092592592592589E-3</c:v>
                </c:pt>
              </c:numCache>
            </c:numRef>
          </c:yVal>
          <c:smooth val="0"/>
          <c:extLst>
            <c:ext xmlns:c16="http://schemas.microsoft.com/office/drawing/2014/chart" uri="{C3380CC4-5D6E-409C-BE32-E72D297353CC}">
              <c16:uniqueId val="{00000000-0580-4A4B-82F9-5BA537CE817E}"/>
            </c:ext>
          </c:extLst>
        </c:ser>
        <c:dLbls>
          <c:showLegendKey val="0"/>
          <c:showVal val="0"/>
          <c:showCatName val="0"/>
          <c:showSerName val="0"/>
          <c:showPercent val="0"/>
          <c:showBubbleSize val="0"/>
        </c:dLbls>
        <c:axId val="136283343"/>
        <c:axId val="136283823"/>
      </c:scatterChart>
      <c:valAx>
        <c:axId val="1362833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Temperature (°F)</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3823"/>
        <c:crosses val="max"/>
        <c:crossBetween val="midCat"/>
      </c:valAx>
      <c:valAx>
        <c:axId val="136283823"/>
        <c:scaling>
          <c:orientation val="maxMin"/>
          <c:min val="4.170000000000001E-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Pace (min/mi)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ss"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83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14</xdr:col>
      <xdr:colOff>304800</xdr:colOff>
      <xdr:row>0</xdr:row>
      <xdr:rowOff>190500</xdr:rowOff>
    </xdr:from>
    <xdr:to>
      <xdr:col>17</xdr:col>
      <xdr:colOff>304800</xdr:colOff>
      <xdr:row>8</xdr:row>
      <xdr:rowOff>0</xdr:rowOff>
    </xdr:to>
    <mc:AlternateContent xmlns:mc="http://schemas.openxmlformats.org/markup-compatibility/2006" xmlns:sle15="http://schemas.microsoft.com/office/drawing/2012/slicer">
      <mc:Choice Requires="sle15">
        <xdr:graphicFrame macro="">
          <xdr:nvGraphicFramePr>
            <xdr:cNvPr id="2" name="Weather Condition">
              <a:extLst>
                <a:ext uri="{FF2B5EF4-FFF2-40B4-BE49-F238E27FC236}">
                  <a16:creationId xmlns:a16="http://schemas.microsoft.com/office/drawing/2014/main" id="{39A77614-ED4B-9808-8292-5859AF4DA457}"/>
                </a:ext>
              </a:extLst>
            </xdr:cNvPr>
            <xdr:cNvGraphicFramePr/>
          </xdr:nvGraphicFramePr>
          <xdr:xfrm>
            <a:off x="0" y="0"/>
            <a:ext cx="0" cy="0"/>
          </xdr:xfrm>
          <a:graphic>
            <a:graphicData uri="http://schemas.microsoft.com/office/drawing/2010/slicer">
              <sle:slicer xmlns:sle="http://schemas.microsoft.com/office/drawing/2010/slicer" name="Weather Condition"/>
            </a:graphicData>
          </a:graphic>
        </xdr:graphicFrame>
      </mc:Choice>
      <mc:Fallback xmlns="">
        <xdr:sp macro="" textlink="">
          <xdr:nvSpPr>
            <xdr:cNvPr id="0" name=""/>
            <xdr:cNvSpPr>
              <a:spLocks noTextEdit="1"/>
            </xdr:cNvSpPr>
          </xdr:nvSpPr>
          <xdr:spPr>
            <a:xfrm>
              <a:off x="11715750" y="190500"/>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0</xdr:colOff>
      <xdr:row>0</xdr:row>
      <xdr:rowOff>190500</xdr:rowOff>
    </xdr:from>
    <xdr:to>
      <xdr:col>14</xdr:col>
      <xdr:colOff>0</xdr:colOff>
      <xdr:row>8</xdr:row>
      <xdr:rowOff>0</xdr:rowOff>
    </xdr:to>
    <mc:AlternateContent xmlns:mc="http://schemas.openxmlformats.org/markup-compatibility/2006" xmlns:sle15="http://schemas.microsoft.com/office/drawing/2012/slicer">
      <mc:Choice Requires="sle15">
        <xdr:graphicFrame macro="">
          <xdr:nvGraphicFramePr>
            <xdr:cNvPr id="3" name="Month">
              <a:extLst>
                <a:ext uri="{FF2B5EF4-FFF2-40B4-BE49-F238E27FC236}">
                  <a16:creationId xmlns:a16="http://schemas.microsoft.com/office/drawing/2014/main" id="{7D57B4BE-ED86-147D-55E5-523A5C2276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82150" y="190500"/>
              <a:ext cx="1828800" cy="20383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0</xdr:rowOff>
    </xdr:from>
    <xdr:to>
      <xdr:col>8</xdr:col>
      <xdr:colOff>0</xdr:colOff>
      <xdr:row>26</xdr:row>
      <xdr:rowOff>0</xdr:rowOff>
    </xdr:to>
    <xdr:graphicFrame macro="">
      <xdr:nvGraphicFramePr>
        <xdr:cNvPr id="2" name="Chart 1">
          <a:extLst>
            <a:ext uri="{FF2B5EF4-FFF2-40B4-BE49-F238E27FC236}">
              <a16:creationId xmlns:a16="http://schemas.microsoft.com/office/drawing/2014/main" id="{577D996B-63C6-EC12-3ADB-114E21A5E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12</xdr:row>
      <xdr:rowOff>0</xdr:rowOff>
    </xdr:from>
    <xdr:to>
      <xdr:col>16</xdr:col>
      <xdr:colOff>0</xdr:colOff>
      <xdr:row>26</xdr:row>
      <xdr:rowOff>0</xdr:rowOff>
    </xdr:to>
    <xdr:graphicFrame macro="">
      <xdr:nvGraphicFramePr>
        <xdr:cNvPr id="3" name="Chart 2">
          <a:extLst>
            <a:ext uri="{FF2B5EF4-FFF2-40B4-BE49-F238E27FC236}">
              <a16:creationId xmlns:a16="http://schemas.microsoft.com/office/drawing/2014/main" id="{91201F0C-E53D-5142-15F6-88CBA2080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27</xdr:row>
      <xdr:rowOff>0</xdr:rowOff>
    </xdr:from>
    <xdr:to>
      <xdr:col>8</xdr:col>
      <xdr:colOff>0</xdr:colOff>
      <xdr:row>42</xdr:row>
      <xdr:rowOff>0</xdr:rowOff>
    </xdr:to>
    <xdr:graphicFrame macro="">
      <xdr:nvGraphicFramePr>
        <xdr:cNvPr id="4" name="Chart 3">
          <a:extLst>
            <a:ext uri="{FF2B5EF4-FFF2-40B4-BE49-F238E27FC236}">
              <a16:creationId xmlns:a16="http://schemas.microsoft.com/office/drawing/2014/main" id="{5B856563-6C4C-8A4E-DAB7-7A1B5CDF3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27</xdr:row>
      <xdr:rowOff>0</xdr:rowOff>
    </xdr:from>
    <xdr:to>
      <xdr:col>16</xdr:col>
      <xdr:colOff>0</xdr:colOff>
      <xdr:row>42</xdr:row>
      <xdr:rowOff>0</xdr:rowOff>
    </xdr:to>
    <xdr:graphicFrame macro="">
      <xdr:nvGraphicFramePr>
        <xdr:cNvPr id="5" name="Chart 4">
          <a:extLst>
            <a:ext uri="{FF2B5EF4-FFF2-40B4-BE49-F238E27FC236}">
              <a16:creationId xmlns:a16="http://schemas.microsoft.com/office/drawing/2014/main" id="{0F1AEC7F-C8CA-71B1-BD3D-7646D9AAF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609599</xdr:colOff>
      <xdr:row>2</xdr:row>
      <xdr:rowOff>0</xdr:rowOff>
    </xdr:from>
    <xdr:to>
      <xdr:col>16</xdr:col>
      <xdr:colOff>0</xdr:colOff>
      <xdr:row>11</xdr:row>
      <xdr:rowOff>0</xdr:rowOff>
    </xdr:to>
    <mc:AlternateContent xmlns:mc="http://schemas.openxmlformats.org/markup-compatibility/2006" xmlns:a14="http://schemas.microsoft.com/office/drawing/2010/main">
      <mc:Choice Requires="a14">
        <xdr:graphicFrame macro="">
          <xdr:nvGraphicFramePr>
            <xdr:cNvPr id="6" name="Weather Condition 1">
              <a:extLst>
                <a:ext uri="{FF2B5EF4-FFF2-40B4-BE49-F238E27FC236}">
                  <a16:creationId xmlns:a16="http://schemas.microsoft.com/office/drawing/2014/main" id="{BCF23FA2-4368-4A26-80E7-D3AA5B4A1B4C}"/>
                </a:ext>
              </a:extLst>
            </xdr:cNvPr>
            <xdr:cNvGraphicFramePr/>
          </xdr:nvGraphicFramePr>
          <xdr:xfrm>
            <a:off x="0" y="0"/>
            <a:ext cx="0" cy="0"/>
          </xdr:xfrm>
          <a:graphic>
            <a:graphicData uri="http://schemas.microsoft.com/office/drawing/2010/slicer">
              <sle:slicer xmlns:sle="http://schemas.microsoft.com/office/drawing/2010/slicer" name="Weather Condition 1"/>
            </a:graphicData>
          </a:graphic>
        </xdr:graphicFrame>
      </mc:Choice>
      <mc:Fallback xmlns="">
        <xdr:sp macro="" textlink="">
          <xdr:nvSpPr>
            <xdr:cNvPr id="0" name=""/>
            <xdr:cNvSpPr>
              <a:spLocks noTextEdit="1"/>
            </xdr:cNvSpPr>
          </xdr:nvSpPr>
          <xdr:spPr>
            <a:xfrm>
              <a:off x="6705599" y="685800"/>
              <a:ext cx="3048001"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xdr:row>
      <xdr:rowOff>0</xdr:rowOff>
    </xdr:from>
    <xdr:to>
      <xdr:col>11</xdr:col>
      <xdr:colOff>0</xdr:colOff>
      <xdr:row>11</xdr:row>
      <xdr:rowOff>0</xdr:rowOff>
    </xdr:to>
    <mc:AlternateContent xmlns:mc="http://schemas.openxmlformats.org/markup-compatibility/2006" xmlns:tsle="http://schemas.microsoft.com/office/drawing/2012/timeslicer">
      <mc:Choice Requires="tsle">
        <xdr:graphicFrame macro="">
          <xdr:nvGraphicFramePr>
            <xdr:cNvPr id="7" name="Month 1">
              <a:extLst>
                <a:ext uri="{FF2B5EF4-FFF2-40B4-BE49-F238E27FC236}">
                  <a16:creationId xmlns:a16="http://schemas.microsoft.com/office/drawing/2014/main" id="{A9FD4B88-50B5-4A07-B369-66181C20D2B6}"/>
                </a:ext>
              </a:extLst>
            </xdr:cNvPr>
            <xdr:cNvGraphicFramePr/>
          </xdr:nvGraphicFramePr>
          <xdr:xfrm>
            <a:off x="0" y="0"/>
            <a:ext cx="0" cy="0"/>
          </xdr:xfrm>
          <a:graphic>
            <a:graphicData uri="http://schemas.microsoft.com/office/drawing/2012/timeslicer">
              <tsle:timeslicer name="Month 1"/>
            </a:graphicData>
          </a:graphic>
        </xdr:graphicFrame>
      </mc:Choice>
      <mc:Fallback xmlns="">
        <xdr:sp macro="" textlink="">
          <xdr:nvSpPr>
            <xdr:cNvPr id="0" name=""/>
            <xdr:cNvSpPr>
              <a:spLocks noTextEdit="1"/>
            </xdr:cNvSpPr>
          </xdr:nvSpPr>
          <xdr:spPr>
            <a:xfrm>
              <a:off x="609600" y="685800"/>
              <a:ext cx="6096000" cy="1771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steck" refreshedDate="46231.789614236113" createdVersion="8" refreshedVersion="8" minRefreshableVersion="3" recordCount="103" xr:uid="{EE3625D9-7817-4041-B977-E64BFB0910A5}">
  <cacheSource type="worksheet">
    <worksheetSource name="RunLog"/>
  </cacheSource>
  <cacheFields count="12">
    <cacheField name="Date" numFmtId="14">
      <sharedItems containsSemiMixedTypes="0" containsNonDate="0" containsDate="1" containsString="0" minDate="2025-08-24T00:00:00" maxDate="2026-07-12T00:00:00"/>
    </cacheField>
    <cacheField name="Start Time" numFmtId="18">
      <sharedItems/>
    </cacheField>
    <cacheField name="Distance (mi)" numFmtId="2">
      <sharedItems containsSemiMixedTypes="0" containsString="0" containsNumber="1" minValue="1.23" maxValue="5.64"/>
    </cacheField>
    <cacheField name="Pace (min/mi)" numFmtId="164">
      <sharedItems containsSemiMixedTypes="0" containsNonDate="0" containsDate="1" containsString="0" minDate="1899-12-30T00:07:40" maxDate="1899-12-30T00:13:38"/>
    </cacheField>
    <cacheField name="Time (h:mm:ss)" numFmtId="21">
      <sharedItems containsSemiMixedTypes="0" containsNonDate="0" containsDate="1" containsString="0" minDate="1899-12-30T00:11:38" maxDate="1899-12-30T01:16:54"/>
    </cacheField>
    <cacheField name="Weather" numFmtId="0">
      <sharedItems/>
    </cacheField>
    <cacheField name="Temperature (°F)" numFmtId="1">
      <sharedItems containsSemiMixedTypes="0" containsString="0" containsNumber="1" containsInteger="1" minValue="41" maxValue="91"/>
    </cacheField>
    <cacheField name="Weather Condition" numFmtId="0">
      <sharedItems count="5">
        <s v="Drizzle"/>
        <s v="Cloudy"/>
        <s v="Partly cloudy"/>
        <s v="Clear"/>
        <s v="Rain"/>
      </sharedItems>
    </cacheField>
    <cacheField name="Month" numFmtId="165">
      <sharedItems containsSemiMixedTypes="0" containsNonDate="0" containsDate="1" containsString="0" minDate="2025-08-01T00:00:00" maxDate="2026-07-02T00:00:00" count="12">
        <d v="2026-07-01T00:00:00"/>
        <d v="2026-06-01T00:00:00"/>
        <d v="2026-05-01T00:00:00"/>
        <d v="2026-04-01T00:00:00"/>
        <d v="2026-03-01T00:00:00"/>
        <d v="2026-02-01T00:00:00"/>
        <d v="2026-01-01T00:00:00"/>
        <d v="2025-12-01T00:00:00"/>
        <d v="2025-11-01T00:00:00"/>
        <d v="2025-10-01T00:00:00"/>
        <d v="2025-09-01T00:00:00"/>
        <d v="2025-08-01T00:00:00"/>
      </sharedItems>
      <fieldGroup par="11"/>
    </cacheField>
    <cacheField name="Months (Month)" numFmtId="0" databaseField="0">
      <fieldGroup base="8">
        <rangePr groupBy="months" startDate="2025-08-01T00:00:00" endDate="2026-07-02T00:00:00"/>
        <groupItems count="14">
          <s v="&lt;8/1/2025"/>
          <s v="Jan"/>
          <s v="Feb"/>
          <s v="Mar"/>
          <s v="Apr"/>
          <s v="May"/>
          <s v="Jun"/>
          <s v="Jul"/>
          <s v="Aug"/>
          <s v="Sep"/>
          <s v="Oct"/>
          <s v="Nov"/>
          <s v="Dec"/>
          <s v="&gt;7/2/2026"/>
        </groupItems>
      </fieldGroup>
    </cacheField>
    <cacheField name="Quarters (Month)" numFmtId="0" databaseField="0">
      <fieldGroup base="8">
        <rangePr groupBy="quarters" startDate="2025-08-01T00:00:00" endDate="2026-07-02T00:00:00"/>
        <groupItems count="6">
          <s v="&lt;8/1/2025"/>
          <s v="Qtr1"/>
          <s v="Qtr2"/>
          <s v="Qtr3"/>
          <s v="Qtr4"/>
          <s v="&gt;7/2/2026"/>
        </groupItems>
      </fieldGroup>
    </cacheField>
    <cacheField name="Years (Month)" numFmtId="0" databaseField="0">
      <fieldGroup base="8">
        <rangePr groupBy="years" startDate="2025-08-01T00:00:00" endDate="2026-07-02T00:00:00"/>
        <groupItems count="4">
          <s v="&lt;8/1/2025"/>
          <s v="2025"/>
          <s v="2026"/>
          <s v="&gt;7/2/2026"/>
        </groupItems>
      </fieldGroup>
    </cacheField>
  </cacheFields>
  <extLst>
    <ext xmlns:x14="http://schemas.microsoft.com/office/spreadsheetml/2009/9/main" uri="{725AE2AE-9491-48be-B2B4-4EB974FC3084}">
      <x14:pivotCacheDefinition pivotCacheId="5570856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3">
  <r>
    <d v="2026-07-11T00:00:00"/>
    <s v="12:37 PM"/>
    <n v="4.09"/>
    <d v="1899-12-30T00:10:09"/>
    <d v="1899-12-30T00:41:33"/>
    <s v="91°F Drizzle"/>
    <n v="91"/>
    <x v="0"/>
    <x v="0"/>
  </r>
  <r>
    <d v="2026-07-10T00:00:00"/>
    <s v="6:12 PM"/>
    <n v="4.2"/>
    <d v="1899-12-30T00:08:26"/>
    <d v="1899-12-30T00:35:21"/>
    <s v="86°F Cloudy"/>
    <n v="86"/>
    <x v="1"/>
    <x v="0"/>
  </r>
  <r>
    <d v="2026-07-09T00:00:00"/>
    <s v="12:59 PM"/>
    <n v="2.4500000000000002"/>
    <d v="1899-12-30T00:09:13"/>
    <d v="1899-12-30T00:22:34"/>
    <s v="88°F Drizzle"/>
    <n v="88"/>
    <x v="0"/>
    <x v="0"/>
  </r>
  <r>
    <d v="2026-07-08T00:00:00"/>
    <s v="6:45 PM"/>
    <n v="3.97"/>
    <d v="1899-12-30T00:08:38"/>
    <d v="1899-12-30T00:34:15"/>
    <s v="85°F Drizzle"/>
    <n v="85"/>
    <x v="0"/>
    <x v="0"/>
  </r>
  <r>
    <d v="2026-07-07T00:00:00"/>
    <s v="7:15 PM"/>
    <n v="4.21"/>
    <d v="1899-12-30T00:09:10"/>
    <d v="1899-12-30T00:38:34"/>
    <s v="83°F Partly cloudy"/>
    <n v="83"/>
    <x v="2"/>
    <x v="0"/>
  </r>
  <r>
    <d v="2026-07-01T00:00:00"/>
    <s v="6:42 PM"/>
    <n v="4.38"/>
    <d v="1899-12-30T00:09:30"/>
    <d v="1899-12-30T00:41:35"/>
    <s v="85°F Drizzle"/>
    <n v="85"/>
    <x v="0"/>
    <x v="0"/>
  </r>
  <r>
    <d v="2026-06-30T00:00:00"/>
    <s v="12:34 PM"/>
    <n v="2.57"/>
    <d v="1899-12-30T00:10:14"/>
    <d v="1899-12-30T00:26:18"/>
    <s v="89°F Partly cloudy"/>
    <n v="89"/>
    <x v="2"/>
    <x v="1"/>
  </r>
  <r>
    <d v="2026-06-29T00:00:00"/>
    <s v="6:30 PM"/>
    <n v="4.1900000000000004"/>
    <d v="1899-12-30T00:08:26"/>
    <d v="1899-12-30T00:35:20"/>
    <s v="89°F Drizzle"/>
    <n v="89"/>
    <x v="0"/>
    <x v="1"/>
  </r>
  <r>
    <d v="2026-06-26T00:00:00"/>
    <s v="7:30 PM"/>
    <n v="4.29"/>
    <d v="1899-12-30T00:09:08"/>
    <d v="1899-12-30T00:39:07"/>
    <s v="87°F Clear"/>
    <n v="87"/>
    <x v="3"/>
    <x v="1"/>
  </r>
  <r>
    <d v="2026-06-25T00:00:00"/>
    <s v="7:26 PM"/>
    <n v="1.58"/>
    <d v="1899-12-30T00:07:40"/>
    <d v="1899-12-30T00:12:08"/>
    <s v="85°F Drizzle"/>
    <n v="85"/>
    <x v="0"/>
    <x v="1"/>
  </r>
  <r>
    <d v="2026-06-24T00:00:00"/>
    <s v="5:14 PM"/>
    <n v="4.05"/>
    <d v="1899-12-30T00:08:56"/>
    <d v="1899-12-30T00:36:13"/>
    <s v="88°F Partly cloudy"/>
    <n v="88"/>
    <x v="2"/>
    <x v="1"/>
  </r>
  <r>
    <d v="2026-06-23T00:00:00"/>
    <s v="7:16 PM"/>
    <n v="2.98"/>
    <d v="1899-12-30T00:09:21"/>
    <d v="1899-12-30T00:27:48"/>
    <s v="89°F Partly cloudy"/>
    <n v="89"/>
    <x v="2"/>
    <x v="1"/>
  </r>
  <r>
    <d v="2026-06-21T00:00:00"/>
    <s v="5:23 PM"/>
    <n v="2.63"/>
    <d v="1899-12-30T00:08:06"/>
    <d v="1899-12-30T00:21:15"/>
    <s v="86°F Drizzle"/>
    <n v="86"/>
    <x v="0"/>
    <x v="1"/>
  </r>
  <r>
    <d v="2026-06-20T00:00:00"/>
    <s v="3:05 PM"/>
    <n v="2.9"/>
    <d v="1899-12-30T00:08:10"/>
    <d v="1899-12-30T00:23:42"/>
    <s v="77°F Rain"/>
    <n v="77"/>
    <x v="4"/>
    <x v="1"/>
  </r>
  <r>
    <d v="2026-06-19T00:00:00"/>
    <s v="6:59 PM"/>
    <n v="1.53"/>
    <d v="1899-12-30T00:07:42"/>
    <d v="1899-12-30T00:11:45"/>
    <s v="83°F Drizzle"/>
    <n v="83"/>
    <x v="0"/>
    <x v="1"/>
  </r>
  <r>
    <d v="2026-06-18T00:00:00"/>
    <s v="7:25 PM"/>
    <n v="2.2599999999999998"/>
    <d v="1899-12-30T00:08:50"/>
    <d v="1899-12-30T00:19:58"/>
    <s v="79°F Rain"/>
    <n v="79"/>
    <x v="4"/>
    <x v="1"/>
  </r>
  <r>
    <d v="2026-06-10T00:00:00"/>
    <s v="6:45 PM"/>
    <n v="2.79"/>
    <d v="1899-12-30T00:09:33"/>
    <d v="1899-12-30T00:26:39"/>
    <s v="84°F Clear"/>
    <n v="84"/>
    <x v="3"/>
    <x v="1"/>
  </r>
  <r>
    <d v="2026-06-09T00:00:00"/>
    <s v="7:03 PM"/>
    <n v="4.42"/>
    <d v="1899-12-30T00:08:31"/>
    <d v="1899-12-30T00:37:42"/>
    <s v="83°F Partly cloudy"/>
    <n v="83"/>
    <x v="2"/>
    <x v="1"/>
  </r>
  <r>
    <d v="2026-06-08T00:00:00"/>
    <s v="7:13 PM"/>
    <n v="2.97"/>
    <d v="1899-12-30T00:08:28"/>
    <d v="1899-12-30T00:25:09"/>
    <s v="81°F Cloudy"/>
    <n v="81"/>
    <x v="1"/>
    <x v="1"/>
  </r>
  <r>
    <d v="2026-06-04T00:00:00"/>
    <s v="5:09 PM"/>
    <n v="2.62"/>
    <d v="1899-12-30T00:09:07"/>
    <d v="1899-12-30T00:23:52"/>
    <s v="80°F Cloudy"/>
    <n v="80"/>
    <x v="1"/>
    <x v="1"/>
  </r>
  <r>
    <d v="2026-06-03T00:00:00"/>
    <s v="6:27 PM"/>
    <n v="4.5199999999999996"/>
    <d v="1899-12-30T00:08:54"/>
    <d v="1899-12-30T00:40:11"/>
    <s v="79°F Cloudy"/>
    <n v="79"/>
    <x v="1"/>
    <x v="1"/>
  </r>
  <r>
    <d v="2026-05-28T00:00:00"/>
    <s v="7:15 PM"/>
    <n v="4.54"/>
    <d v="1899-12-30T00:08:40"/>
    <d v="1899-12-30T00:39:24"/>
    <s v="81°F Cloudy"/>
    <n v="81"/>
    <x v="1"/>
    <x v="2"/>
  </r>
  <r>
    <d v="2026-05-27T00:00:00"/>
    <s v="7:14 PM"/>
    <n v="4.0599999999999996"/>
    <d v="1899-12-30T00:09:00"/>
    <d v="1899-12-30T00:36:34"/>
    <s v="81°F Cloudy"/>
    <n v="81"/>
    <x v="1"/>
    <x v="2"/>
  </r>
  <r>
    <d v="2026-05-24T00:00:00"/>
    <s v="2:45 PM"/>
    <n v="4.1399999999999997"/>
    <d v="1899-12-30T00:08:57"/>
    <d v="1899-12-30T00:37:06"/>
    <s v="76°F Rain"/>
    <n v="76"/>
    <x v="4"/>
    <x v="2"/>
  </r>
  <r>
    <d v="2026-05-19T00:00:00"/>
    <s v="7:17 PM"/>
    <n v="2.81"/>
    <d v="1899-12-30T00:08:39"/>
    <d v="1899-12-30T00:24:17"/>
    <s v="80°F Partly cloudy"/>
    <n v="80"/>
    <x v="2"/>
    <x v="2"/>
  </r>
  <r>
    <d v="2026-05-18T00:00:00"/>
    <s v="7:19 PM"/>
    <n v="4.34"/>
    <d v="1899-12-30T00:09:06"/>
    <d v="1899-12-30T00:39:28"/>
    <s v="81°F Clear"/>
    <n v="81"/>
    <x v="3"/>
    <x v="2"/>
  </r>
  <r>
    <d v="2026-05-17T00:00:00"/>
    <s v="6:35 PM"/>
    <n v="4.46"/>
    <d v="1899-12-30T00:08:48"/>
    <d v="1899-12-30T00:39:12"/>
    <s v="80°F Drizzle"/>
    <n v="80"/>
    <x v="0"/>
    <x v="2"/>
  </r>
  <r>
    <d v="2026-05-06T00:00:00"/>
    <s v="7:20 PM"/>
    <n v="4.18"/>
    <d v="1899-12-30T00:09:34"/>
    <d v="1899-12-30T00:40:01"/>
    <s v="78°F Cloudy"/>
    <n v="78"/>
    <x v="1"/>
    <x v="2"/>
  </r>
  <r>
    <d v="2026-05-05T00:00:00"/>
    <s v="7:10 PM"/>
    <n v="3.98"/>
    <d v="1899-12-30T00:09:17"/>
    <d v="1899-12-30T00:37:00"/>
    <s v="76°F Cloudy"/>
    <n v="76"/>
    <x v="1"/>
    <x v="2"/>
  </r>
  <r>
    <d v="2026-04-29T00:00:00"/>
    <s v="5:03 PM"/>
    <n v="3.97"/>
    <d v="1899-12-30T00:09:43"/>
    <d v="1899-12-30T00:38:32"/>
    <s v="84°F Cloudy"/>
    <n v="84"/>
    <x v="1"/>
    <x v="3"/>
  </r>
  <r>
    <d v="2026-04-28T00:00:00"/>
    <s v="6:52 PM"/>
    <n v="2.74"/>
    <d v="1899-12-30T00:08:42"/>
    <d v="1899-12-30T00:23:49"/>
    <s v="80°F Cloudy"/>
    <n v="80"/>
    <x v="1"/>
    <x v="3"/>
  </r>
  <r>
    <d v="2026-04-27T00:00:00"/>
    <s v="6:00 PM"/>
    <n v="5.62"/>
    <d v="1899-12-30T00:08:42"/>
    <d v="1899-12-30T00:48:57"/>
    <s v="82°F Clear"/>
    <n v="82"/>
    <x v="3"/>
    <x v="3"/>
  </r>
  <r>
    <d v="2026-04-24T00:00:00"/>
    <s v="7:14 PM"/>
    <n v="1.7"/>
    <d v="1899-12-30T00:09:22"/>
    <d v="1899-12-30T00:15:56"/>
    <s v="76°F Cloudy"/>
    <n v="76"/>
    <x v="1"/>
    <x v="3"/>
  </r>
  <r>
    <d v="2026-04-23T00:00:00"/>
    <s v="6:50 PM"/>
    <n v="4.43"/>
    <d v="1899-12-30T00:09:39"/>
    <d v="1899-12-30T00:42:46"/>
    <s v="77°F Partly cloudy"/>
    <n v="77"/>
    <x v="2"/>
    <x v="3"/>
  </r>
  <r>
    <d v="2026-04-22T00:00:00"/>
    <s v="6:34 PM"/>
    <n v="4.58"/>
    <d v="1899-12-30T00:08:34"/>
    <d v="1899-12-30T00:39:15"/>
    <s v="78°F Partly cloudy"/>
    <n v="78"/>
    <x v="2"/>
    <x v="3"/>
  </r>
  <r>
    <d v="2026-04-21T00:00:00"/>
    <s v="5:08 PM"/>
    <n v="4.54"/>
    <d v="1899-12-30T00:08:41"/>
    <d v="1899-12-30T00:39:27"/>
    <s v="75°F Cloudy"/>
    <n v="75"/>
    <x v="1"/>
    <x v="3"/>
  </r>
  <r>
    <d v="2026-04-16T00:00:00"/>
    <s v="5:17 PM"/>
    <n v="2.99"/>
    <d v="1899-12-30T00:08:23"/>
    <d v="1899-12-30T00:25:06"/>
    <s v="80°F Partly cloudy"/>
    <n v="80"/>
    <x v="2"/>
    <x v="3"/>
  </r>
  <r>
    <d v="2026-04-15T00:00:00"/>
    <s v="1:27 PM"/>
    <n v="5.64"/>
    <d v="1899-12-30T00:13:38"/>
    <d v="1899-12-30T01:16:54"/>
    <s v="81°F Cloudy"/>
    <n v="81"/>
    <x v="1"/>
    <x v="3"/>
  </r>
  <r>
    <d v="2026-04-15T00:00:00"/>
    <s v="1:14 PM"/>
    <n v="1.23"/>
    <d v="1899-12-30T00:09:27"/>
    <d v="1899-12-30T00:11:38"/>
    <s v="81°F Cloudy"/>
    <n v="81"/>
    <x v="1"/>
    <x v="3"/>
  </r>
  <r>
    <d v="2026-04-11T00:00:00"/>
    <s v="5:06 PM"/>
    <n v="4.63"/>
    <d v="1899-12-30T00:09:16"/>
    <d v="1899-12-30T00:42:52"/>
    <s v="78°F Clear"/>
    <n v="78"/>
    <x v="3"/>
    <x v="3"/>
  </r>
  <r>
    <d v="2026-04-08T00:00:00"/>
    <s v="6:38 PM"/>
    <n v="4.54"/>
    <d v="1899-12-30T00:08:43"/>
    <d v="1899-12-30T00:39:34"/>
    <s v="71°F Clear"/>
    <n v="71"/>
    <x v="3"/>
    <x v="3"/>
  </r>
  <r>
    <d v="2026-04-01T00:00:00"/>
    <s v="2:55 PM"/>
    <n v="2.81"/>
    <d v="1899-12-30T00:09:04"/>
    <d v="1899-12-30T00:25:29"/>
    <s v="80°F Drizzle"/>
    <n v="80"/>
    <x v="0"/>
    <x v="3"/>
  </r>
  <r>
    <d v="2026-03-31T00:00:00"/>
    <s v="6:45 PM"/>
    <n v="4.58"/>
    <d v="1899-12-30T00:08:46"/>
    <d v="1899-12-30T00:40:09"/>
    <s v="75°F Partly cloudy"/>
    <n v="75"/>
    <x v="2"/>
    <x v="4"/>
  </r>
  <r>
    <d v="2026-03-27T00:00:00"/>
    <s v="4:15 PM"/>
    <n v="4.6100000000000003"/>
    <d v="1899-12-30T00:09:48"/>
    <d v="1899-12-30T00:45:07"/>
    <s v="83°F Partly cloudy"/>
    <n v="83"/>
    <x v="2"/>
    <x v="4"/>
  </r>
  <r>
    <d v="2026-03-26T00:00:00"/>
    <s v="5:58 PM"/>
    <n v="4.5999999999999996"/>
    <d v="1899-12-30T00:08:40"/>
    <d v="1899-12-30T00:39:50"/>
    <s v="80°F Clear"/>
    <n v="80"/>
    <x v="3"/>
    <x v="4"/>
  </r>
  <r>
    <d v="2026-03-23T00:00:00"/>
    <s v="6:27 PM"/>
    <n v="4.68"/>
    <d v="1899-12-30T00:08:52"/>
    <d v="1899-12-30T00:41:32"/>
    <s v="82°F Clear"/>
    <n v="82"/>
    <x v="3"/>
    <x v="4"/>
  </r>
  <r>
    <d v="2026-03-20T00:00:00"/>
    <s v="6:51 PM"/>
    <n v="4.5599999999999996"/>
    <d v="1899-12-30T00:08:44"/>
    <d v="1899-12-30T00:39:48"/>
    <s v="71°F Clear"/>
    <n v="71"/>
    <x v="3"/>
    <x v="4"/>
  </r>
  <r>
    <d v="2026-03-17T00:00:00"/>
    <s v="5:45 PM"/>
    <n v="4.63"/>
    <d v="1899-12-30T00:09:03"/>
    <d v="1899-12-30T00:41:55"/>
    <s v="53°F Clear"/>
    <n v="53"/>
    <x v="3"/>
    <x v="4"/>
  </r>
  <r>
    <d v="2026-03-13T00:00:00"/>
    <s v="5:56 PM"/>
    <n v="2.94"/>
    <d v="1899-12-30T00:08:12"/>
    <d v="1899-12-30T00:24:03"/>
    <s v="70°F Partly cloudy"/>
    <n v="70"/>
    <x v="2"/>
    <x v="4"/>
  </r>
  <r>
    <d v="2026-03-11T00:00:00"/>
    <s v="6:07 PM"/>
    <n v="2.99"/>
    <d v="1899-12-30T00:09:06"/>
    <d v="1899-12-30T00:27:12"/>
    <s v="72°F Rain"/>
    <n v="72"/>
    <x v="4"/>
    <x v="4"/>
  </r>
  <r>
    <d v="2026-03-09T00:00:00"/>
    <s v="6:49 PM"/>
    <n v="2.9"/>
    <d v="1899-12-30T00:09:22"/>
    <d v="1899-12-30T00:27:13"/>
    <s v="77°F Cloudy"/>
    <n v="77"/>
    <x v="1"/>
    <x v="4"/>
  </r>
  <r>
    <d v="2026-03-07T00:00:00"/>
    <s v="5:59 PM"/>
    <n v="3.01"/>
    <d v="1899-12-30T00:09:03"/>
    <d v="1899-12-30T00:27:14"/>
    <s v="77°F Partly cloudy"/>
    <n v="77"/>
    <x v="2"/>
    <x v="4"/>
  </r>
  <r>
    <d v="2026-03-06T00:00:00"/>
    <s v="5:43 PM"/>
    <n v="3.05"/>
    <d v="1899-12-30T00:07:54"/>
    <d v="1899-12-30T00:24:03"/>
    <s v="77°F Drizzle"/>
    <n v="77"/>
    <x v="0"/>
    <x v="4"/>
  </r>
  <r>
    <d v="2026-03-04T00:00:00"/>
    <s v="5:28 PM"/>
    <n v="4.57"/>
    <d v="1899-12-30T00:09:00"/>
    <d v="1899-12-30T00:41:09"/>
    <s v="77°F Cloudy"/>
    <n v="77"/>
    <x v="1"/>
    <x v="4"/>
  </r>
  <r>
    <d v="2026-03-02T00:00:00"/>
    <s v="4:56 PM"/>
    <n v="4.63"/>
    <d v="1899-12-30T00:09:21"/>
    <d v="1899-12-30T00:43:19"/>
    <s v="76°F Clear"/>
    <n v="76"/>
    <x v="3"/>
    <x v="4"/>
  </r>
  <r>
    <d v="2026-02-28T00:00:00"/>
    <s v="1:20 PM"/>
    <n v="3.61"/>
    <d v="1899-12-30T00:10:45"/>
    <d v="1899-12-30T00:38:51"/>
    <s v="71°F Clear"/>
    <n v="71"/>
    <x v="3"/>
    <x v="5"/>
  </r>
  <r>
    <d v="2026-02-26T00:00:00"/>
    <s v="5:48 PM"/>
    <n v="4.6100000000000003"/>
    <d v="1899-12-30T00:08:36"/>
    <d v="1899-12-30T00:39:39"/>
    <s v="75°F Partly cloudy"/>
    <n v="75"/>
    <x v="2"/>
    <x v="5"/>
  </r>
  <r>
    <d v="2026-02-24T00:00:00"/>
    <s v="5:29 PM"/>
    <n v="4.6100000000000003"/>
    <d v="1899-12-30T00:08:24"/>
    <d v="1899-12-30T00:38:47"/>
    <s v="60°F Clear"/>
    <n v="60"/>
    <x v="3"/>
    <x v="5"/>
  </r>
  <r>
    <d v="2026-02-06T00:00:00"/>
    <s v="6:00 PM"/>
    <n v="4.5199999999999996"/>
    <d v="1899-12-30T00:11:33"/>
    <d v="1899-12-30T00:52:13"/>
    <s v="67°F Clear"/>
    <n v="67"/>
    <x v="3"/>
    <x v="5"/>
  </r>
  <r>
    <d v="2026-01-30T00:00:00"/>
    <s v="2:00 PM"/>
    <n v="4.6100000000000003"/>
    <d v="1899-12-30T00:08:36"/>
    <d v="1899-12-30T00:39:38"/>
    <s v="57°F Cloudy"/>
    <n v="57"/>
    <x v="1"/>
    <x v="6"/>
  </r>
  <r>
    <d v="2026-01-28T00:00:00"/>
    <s v="5:48 PM"/>
    <n v="4.63"/>
    <d v="1899-12-30T00:08:49"/>
    <d v="1899-12-30T00:40:50"/>
    <s v="49°F Clear"/>
    <n v="49"/>
    <x v="3"/>
    <x v="6"/>
  </r>
  <r>
    <d v="2026-01-27T00:00:00"/>
    <s v="1:31 PM"/>
    <n v="4.6100000000000003"/>
    <d v="1899-12-30T00:09:02"/>
    <d v="1899-12-30T00:41:34"/>
    <s v="41°F Clear"/>
    <n v="41"/>
    <x v="3"/>
    <x v="6"/>
  </r>
  <r>
    <d v="2026-01-22T00:00:00"/>
    <s v="4:58 PM"/>
    <n v="4.66"/>
    <d v="1899-12-30T00:09:08"/>
    <d v="1899-12-30T00:42:36"/>
    <s v="70°F Partly cloudy"/>
    <n v="70"/>
    <x v="2"/>
    <x v="6"/>
  </r>
  <r>
    <d v="2026-01-21T00:00:00"/>
    <s v="5:10 PM"/>
    <n v="2.97"/>
    <d v="1899-12-30T00:09:05"/>
    <d v="1899-12-30T00:26:56"/>
    <s v="67°F Cloudy"/>
    <n v="67"/>
    <x v="1"/>
    <x v="6"/>
  </r>
  <r>
    <d v="2026-01-19T00:00:00"/>
    <s v="5:04 PM"/>
    <n v="4.72"/>
    <d v="1899-12-30T00:09:32"/>
    <d v="1899-12-30T00:45:03"/>
    <s v="54°F Clear"/>
    <n v="54"/>
    <x v="3"/>
    <x v="6"/>
  </r>
  <r>
    <d v="2026-01-14T00:00:00"/>
    <s v="4:46 PM"/>
    <n v="2.9"/>
    <d v="1899-12-30T00:09:38"/>
    <d v="1899-12-30T00:27:55"/>
    <s v="66°F Cloudy"/>
    <n v="66"/>
    <x v="1"/>
    <x v="6"/>
  </r>
  <r>
    <d v="2025-12-17T00:00:00"/>
    <s v="1:15 PM"/>
    <n v="4.68"/>
    <d v="1899-12-30T00:09:13"/>
    <d v="1899-12-30T00:43:07"/>
    <s v="63°F Cloudy"/>
    <n v="63"/>
    <x v="1"/>
    <x v="7"/>
  </r>
  <r>
    <d v="2025-12-16T00:00:00"/>
    <s v="4:46 PM"/>
    <n v="2.95"/>
    <d v="1899-12-30T00:08:32"/>
    <d v="1899-12-30T00:25:10"/>
    <s v="62°F Cloudy"/>
    <n v="62"/>
    <x v="1"/>
    <x v="7"/>
  </r>
  <r>
    <d v="2025-12-11T00:00:00"/>
    <s v="1:10 PM"/>
    <n v="3.02"/>
    <d v="1899-12-30T00:09:19"/>
    <d v="1899-12-30T00:28:06"/>
    <s v="58°F Clear"/>
    <n v="58"/>
    <x v="3"/>
    <x v="7"/>
  </r>
  <r>
    <d v="2025-12-10T00:00:00"/>
    <s v="4:43 PM"/>
    <n v="2.93"/>
    <d v="1899-12-30T00:08:42"/>
    <d v="1899-12-30T00:25:28"/>
    <s v="71°F Clear"/>
    <n v="71"/>
    <x v="3"/>
    <x v="7"/>
  </r>
  <r>
    <d v="2025-12-08T00:00:00"/>
    <s v="4:37 PM"/>
    <n v="2.91"/>
    <d v="1899-12-30T00:08:33"/>
    <d v="1899-12-30T00:24:51"/>
    <s v="56°F Cloudy"/>
    <n v="56"/>
    <x v="1"/>
    <x v="7"/>
  </r>
  <r>
    <d v="2025-11-28T00:00:00"/>
    <s v="1:55 PM"/>
    <n v="4.6500000000000004"/>
    <d v="1899-12-30T00:08:50"/>
    <d v="1899-12-30T00:41:07"/>
    <s v="56°F Cloudy"/>
    <n v="56"/>
    <x v="1"/>
    <x v="8"/>
  </r>
  <r>
    <d v="2025-11-26T00:00:00"/>
    <s v="1:30 PM"/>
    <n v="2.98"/>
    <d v="1899-12-30T00:09:09"/>
    <d v="1899-12-30T00:27:17"/>
    <s v="68°F Cloudy"/>
    <n v="68"/>
    <x v="1"/>
    <x v="8"/>
  </r>
  <r>
    <d v="2025-11-25T00:00:00"/>
    <s v="4:38 PM"/>
    <n v="2.98"/>
    <d v="1899-12-30T00:08:48"/>
    <d v="1899-12-30T00:26:15"/>
    <s v="79°F Drizzle"/>
    <n v="79"/>
    <x v="0"/>
    <x v="8"/>
  </r>
  <r>
    <d v="2025-11-23T00:00:00"/>
    <s v="2:18 PM"/>
    <n v="2.92"/>
    <d v="1899-12-30T00:10:38"/>
    <d v="1899-12-30T00:31:04"/>
    <s v="75°F Clear"/>
    <n v="75"/>
    <x v="3"/>
    <x v="8"/>
  </r>
  <r>
    <d v="2025-11-20T00:00:00"/>
    <s v="1:50 PM"/>
    <n v="3.56"/>
    <d v="1899-12-30T00:08:54"/>
    <d v="1899-12-30T00:31:41"/>
    <s v="79°F Clear"/>
    <n v="79"/>
    <x v="3"/>
    <x v="8"/>
  </r>
  <r>
    <d v="2025-11-19T00:00:00"/>
    <s v="5:42 PM"/>
    <n v="2.98"/>
    <d v="1899-12-30T00:09:49"/>
    <d v="1899-12-30T00:29:12"/>
    <s v="78°F Cloudy"/>
    <n v="78"/>
    <x v="1"/>
    <x v="8"/>
  </r>
  <r>
    <d v="2025-11-17T00:00:00"/>
    <s v="4:46 PM"/>
    <n v="3.01"/>
    <d v="1899-12-30T00:08:51"/>
    <d v="1899-12-30T00:26:38"/>
    <s v="79°F Cloudy"/>
    <n v="79"/>
    <x v="1"/>
    <x v="8"/>
  </r>
  <r>
    <d v="2025-11-12T00:00:00"/>
    <s v="12:27 PM"/>
    <n v="2.13"/>
    <d v="1899-12-30T00:09:46"/>
    <d v="1899-12-30T00:20:51"/>
    <s v="70°F Clear"/>
    <n v="70"/>
    <x v="3"/>
    <x v="8"/>
  </r>
  <r>
    <d v="2025-11-04T00:00:00"/>
    <s v="5:07 PM"/>
    <n v="2.96"/>
    <d v="1899-12-30T00:08:40"/>
    <d v="1899-12-30T00:25:40"/>
    <s v="69°F Clear"/>
    <n v="69"/>
    <x v="3"/>
    <x v="8"/>
  </r>
  <r>
    <d v="2025-11-03T00:00:00"/>
    <s v="4:54 PM"/>
    <n v="2.99"/>
    <d v="1899-12-30T00:08:08"/>
    <d v="1899-12-30T00:24:19"/>
    <s v="65°F Clear"/>
    <n v="65"/>
    <x v="3"/>
    <x v="8"/>
  </r>
  <r>
    <d v="2025-10-30T00:00:00"/>
    <s v="11:33 AM"/>
    <n v="3"/>
    <d v="1899-12-30T00:09:02"/>
    <d v="1899-12-30T00:27:09"/>
    <s v="59°F Clear"/>
    <n v="59"/>
    <x v="3"/>
    <x v="9"/>
  </r>
  <r>
    <d v="2025-10-29T00:00:00"/>
    <s v="11:05 AM"/>
    <n v="2.98"/>
    <d v="1899-12-30T00:09:20"/>
    <d v="1899-12-30T00:27:51"/>
    <s v="61°F Partly cloudy"/>
    <n v="61"/>
    <x v="2"/>
    <x v="9"/>
  </r>
  <r>
    <d v="2025-10-27T00:00:00"/>
    <s v="6:37 PM"/>
    <n v="3.01"/>
    <d v="1899-12-30T00:08:30"/>
    <d v="1899-12-30T00:25:36"/>
    <s v="74°F Clear"/>
    <n v="74"/>
    <x v="3"/>
    <x v="9"/>
  </r>
  <r>
    <d v="2025-10-23T00:00:00"/>
    <s v="5:42 PM"/>
    <n v="2.97"/>
    <d v="1899-12-30T00:08:29"/>
    <d v="1899-12-30T00:25:10"/>
    <s v="77°F Partly cloudy"/>
    <n v="77"/>
    <x v="2"/>
    <x v="9"/>
  </r>
  <r>
    <d v="2025-10-22T00:00:00"/>
    <s v="12:58 PM"/>
    <n v="4.63"/>
    <d v="1899-12-30T00:09:39"/>
    <d v="1899-12-30T00:44:40"/>
    <s v="76°F Clear"/>
    <n v="76"/>
    <x v="3"/>
    <x v="9"/>
  </r>
  <r>
    <d v="2025-10-20T00:00:00"/>
    <s v="6:24 PM"/>
    <n v="2.97"/>
    <d v="1899-12-30T00:08:51"/>
    <d v="1899-12-30T00:26:14"/>
    <s v="75°F Clear"/>
    <n v="75"/>
    <x v="3"/>
    <x v="9"/>
  </r>
  <r>
    <d v="2025-10-17T00:00:00"/>
    <s v="5:20 PM"/>
    <n v="4.8099999999999996"/>
    <d v="1899-12-30T00:11:03"/>
    <d v="1899-12-30T00:53:07"/>
    <s v="82°F Clear"/>
    <n v="82"/>
    <x v="3"/>
    <x v="9"/>
  </r>
  <r>
    <d v="2025-10-15T00:00:00"/>
    <s v="5:47 PM"/>
    <n v="4.66"/>
    <d v="1899-12-30T00:11:11"/>
    <d v="1899-12-30T00:52:05"/>
    <s v="84°F Clear"/>
    <n v="84"/>
    <x v="3"/>
    <x v="9"/>
  </r>
  <r>
    <d v="2025-10-14T00:00:00"/>
    <s v="5:56 PM"/>
    <n v="4.54"/>
    <d v="1899-12-30T00:09:28"/>
    <d v="1899-12-30T00:42:56"/>
    <s v="83°F Clear"/>
    <n v="83"/>
    <x v="3"/>
    <x v="9"/>
  </r>
  <r>
    <d v="2025-10-13T00:00:00"/>
    <s v="5:17 PM"/>
    <n v="2.89"/>
    <d v="1899-12-30T00:09:42"/>
    <d v="1899-12-30T00:28:01"/>
    <s v="81°F Clear"/>
    <n v="81"/>
    <x v="3"/>
    <x v="9"/>
  </r>
  <r>
    <d v="2025-09-23T00:00:00"/>
    <s v="7:00 PM"/>
    <n v="2.94"/>
    <d v="1899-12-30T00:10:10"/>
    <d v="1899-12-30T00:29:51"/>
    <s v="82°F Drizzle"/>
    <n v="82"/>
    <x v="0"/>
    <x v="10"/>
  </r>
  <r>
    <d v="2025-09-18T00:00:00"/>
    <s v="6:56 PM"/>
    <n v="2.82"/>
    <d v="1899-12-30T00:09:12"/>
    <d v="1899-12-30T00:25:55"/>
    <s v="86°F Clear"/>
    <n v="86"/>
    <x v="3"/>
    <x v="10"/>
  </r>
  <r>
    <d v="2025-09-17T00:00:00"/>
    <s v="6:56 PM"/>
    <n v="2.97"/>
    <d v="1899-12-30T00:09:21"/>
    <d v="1899-12-30T00:27:47"/>
    <s v="85°F Clear"/>
    <n v="85"/>
    <x v="3"/>
    <x v="10"/>
  </r>
  <r>
    <d v="2025-09-11T00:00:00"/>
    <s v="7:22 PM"/>
    <n v="2.82"/>
    <d v="1899-12-30T00:09:01"/>
    <d v="1899-12-30T00:25:24"/>
    <s v="86°F Clear"/>
    <n v="86"/>
    <x v="3"/>
    <x v="10"/>
  </r>
  <r>
    <d v="2025-09-10T00:00:00"/>
    <s v="7:17 PM"/>
    <n v="2.87"/>
    <d v="1899-12-30T00:10:01"/>
    <d v="1899-12-30T00:28:47"/>
    <s v="82°F Partly cloudy"/>
    <n v="82"/>
    <x v="2"/>
    <x v="10"/>
  </r>
  <r>
    <d v="2025-09-09T00:00:00"/>
    <s v="6:50 PM"/>
    <n v="3.02"/>
    <d v="1899-12-30T00:08:53"/>
    <d v="1899-12-30T00:26:50"/>
    <s v="81°F Partly cloudy"/>
    <n v="81"/>
    <x v="2"/>
    <x v="10"/>
  </r>
  <r>
    <d v="2025-09-01T00:00:00"/>
    <s v="2:26 PM"/>
    <n v="3"/>
    <d v="1899-12-30T00:08:37"/>
    <d v="1899-12-30T00:25:54"/>
    <s v="84°F Cloudy"/>
    <n v="84"/>
    <x v="1"/>
    <x v="10"/>
  </r>
  <r>
    <d v="2025-08-29T00:00:00"/>
    <s v="7:07 PM"/>
    <n v="3.05"/>
    <d v="1899-12-30T00:08:40"/>
    <d v="1899-12-30T00:26:24"/>
    <s v="77°F Drizzle"/>
    <n v="77"/>
    <x v="0"/>
    <x v="11"/>
  </r>
  <r>
    <d v="2025-08-28T00:00:00"/>
    <s v="6:49 PM"/>
    <n v="3"/>
    <d v="1899-12-30T00:08:38"/>
    <d v="1899-12-30T00:25:53"/>
    <s v="85°F Partly cloudy"/>
    <n v="85"/>
    <x v="2"/>
    <x v="11"/>
  </r>
  <r>
    <d v="2025-08-27T00:00:00"/>
    <s v="7:14 PM"/>
    <n v="3.02"/>
    <d v="1899-12-30T00:09:06"/>
    <d v="1899-12-30T00:27:30"/>
    <s v="84°F Partly cloudy"/>
    <n v="84"/>
    <x v="2"/>
    <x v="11"/>
  </r>
  <r>
    <d v="2025-08-25T00:00:00"/>
    <s v="7:20 PM"/>
    <n v="2.96"/>
    <d v="1899-12-30T00:08:21"/>
    <d v="1899-12-30T00:24:46"/>
    <s v="87°F Clear"/>
    <n v="87"/>
    <x v="3"/>
    <x v="11"/>
  </r>
  <r>
    <d v="2025-08-24T00:00:00"/>
    <s v="5:29 PM"/>
    <n v="2.99"/>
    <d v="1899-12-30T00:07:56"/>
    <d v="1899-12-30T00:23:40"/>
    <s v="91°F Clear"/>
    <n v="91"/>
    <x v="3"/>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828E6D-2340-479A-81A8-BBBBA0632B28}" name="ptMonthlySummary"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B4:E17" firstHeaderRow="0" firstDataRow="1" firstDataCol="1"/>
  <pivotFields count="12">
    <pivotField dataField="1" compact="0" numFmtId="14" outline="0" showAll="0" defaultSubtotal="0"/>
    <pivotField compact="0" outline="0" showAll="0" defaultSubtotal="0"/>
    <pivotField dataField="1" compact="0" numFmtId="2" outline="0" showAll="0" defaultSubtotal="0"/>
    <pivotField dataField="1" compact="0" numFmtId="164" outline="0" showAll="0" defaultSubtotal="0"/>
    <pivotField compact="0" numFmtId="21" outline="0" showAll="0" defaultSubtotal="0"/>
    <pivotField compact="0" outline="0" showAll="0" defaultSubtotal="0"/>
    <pivotField compact="0" numFmtId="1" outline="0" showAll="0" defaultSubtotal="0"/>
    <pivotField compact="0" outline="0" showAll="0" defaultSubtotal="0">
      <items count="5">
        <item x="3"/>
        <item x="1"/>
        <item x="0"/>
        <item x="2"/>
        <item x="4"/>
      </items>
    </pivotField>
    <pivotField axis="axisRow" compact="0" numFmtId="165" outline="0" showAll="0" sortType="ascending" defaultSubtotal="0">
      <items count="12">
        <item x="11"/>
        <item x="10"/>
        <item x="9"/>
        <item x="8"/>
        <item x="7"/>
        <item x="6"/>
        <item x="5"/>
        <item x="4"/>
        <item x="3"/>
        <item x="2"/>
        <item x="1"/>
        <item x="0"/>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0"/>
        <item sd="0" x="1"/>
        <item sd="0" x="2"/>
        <item sd="0" x="3"/>
        <item sd="0" x="4"/>
        <item sd="0" x="5"/>
      </items>
    </pivotField>
    <pivotField compact="0" outline="0" subtotalTop="0" showAll="0" defaultSubtotal="0">
      <items count="4">
        <item sd="0" x="0"/>
        <item sd="0" x="1"/>
        <item sd="0" x="2"/>
        <item sd="0" x="3"/>
      </items>
    </pivotField>
  </pivotFields>
  <rowFields count="1">
    <field x="8"/>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Total Runs" fld="0" subtotal="count" baseField="11" baseItem="1" numFmtId="1"/>
    <dataField name="Total Distance (mi)" fld="2" baseField="11" baseItem="1" numFmtId="2"/>
    <dataField name="Average Pace (min/mi)" fld="3" subtotal="average" baseField="11" baseItem="1" numFmtId="164"/>
  </dataFields>
  <formats count="13">
    <format dxfId="12">
      <pivotArea type="all" dataOnly="0" outline="0" fieldPosition="0"/>
    </format>
    <format dxfId="11">
      <pivotArea outline="0" collapsedLevelsAreSubtotals="1" fieldPosition="0"/>
    </format>
    <format dxfId="10">
      <pivotArea field="8" type="button" dataOnly="0" labelOnly="1" outline="0" axis="axisRow" fieldPosition="0"/>
    </format>
    <format dxfId="9">
      <pivotArea dataOnly="0" labelOnly="1" outline="0" fieldPosition="0">
        <references count="1">
          <reference field="8" count="0"/>
        </references>
      </pivotArea>
    </format>
    <format dxfId="8">
      <pivotArea dataOnly="0" labelOnly="1" grandRow="1" outline="0" fieldPosition="0"/>
    </format>
    <format dxfId="7">
      <pivotArea dataOnly="0" labelOnly="1" outline="0" fieldPosition="0">
        <references count="1">
          <reference field="4294967294" count="3">
            <x v="0"/>
            <x v="1"/>
            <x v="2"/>
          </reference>
        </references>
      </pivotArea>
    </format>
    <format dxfId="6">
      <pivotArea outline="0" fieldPosition="0">
        <references count="2">
          <reference field="4294967294" count="1" selected="0">
            <x v="2"/>
          </reference>
          <reference field="8" count="1" selected="0">
            <x v="8"/>
          </reference>
        </references>
      </pivotArea>
    </format>
    <format dxfId="5">
      <pivotArea type="all" dataOnly="0" outline="0" fieldPosition="0"/>
    </format>
    <format dxfId="4">
      <pivotArea field="8" type="button" dataOnly="0" labelOnly="1" outline="0" axis="axisRow" fieldPosition="0"/>
    </format>
    <format dxfId="3">
      <pivotArea dataOnly="0" labelOnly="1" outline="0" fieldPosition="0">
        <references count="1">
          <reference field="4294967294" count="3">
            <x v="0"/>
            <x v="1"/>
            <x v="2"/>
          </reference>
        </references>
      </pivotArea>
    </format>
    <format dxfId="2">
      <pivotArea outline="0" collapsedLevelsAreSubtotals="1" fieldPosition="0"/>
    </format>
    <format dxfId="1">
      <pivotArea dataOnly="0" labelOnly="1" outline="0" fieldPosition="0">
        <references count="1">
          <reference field="8"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03118A-7163-404F-A2DE-50B5245929CB}" name="ptMonthlyDistanc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
  <location ref="J4:K16" firstHeaderRow="1" firstDataRow="1" firstDataCol="1"/>
  <pivotFields count="12">
    <pivotField compact="0" numFmtId="14" outline="0" showAll="0" defaultSubtotal="0"/>
    <pivotField compact="0" outline="0" showAll="0" defaultSubtotal="0"/>
    <pivotField dataField="1" compact="0" numFmtId="2" outline="0" showAll="0" defaultSubtotal="0"/>
    <pivotField compact="0" numFmtId="164" outline="0" showAll="0" defaultSubtotal="0"/>
    <pivotField compact="0" numFmtId="21" outline="0" showAll="0" defaultSubtotal="0"/>
    <pivotField compact="0" outline="0" showAll="0" defaultSubtotal="0"/>
    <pivotField compact="0" numFmtId="1" outline="0" showAll="0" defaultSubtotal="0"/>
    <pivotField compact="0" outline="0" showAll="0" defaultSubtotal="0">
      <items count="5">
        <item x="3"/>
        <item x="1"/>
        <item x="0"/>
        <item x="2"/>
        <item x="4"/>
      </items>
    </pivotField>
    <pivotField axis="axisRow" compact="0" numFmtId="165" outline="0" showAll="0" sortType="ascending" defaultSubtotal="0">
      <items count="12">
        <item x="11"/>
        <item x="10"/>
        <item x="9"/>
        <item x="8"/>
        <item x="7"/>
        <item x="6"/>
        <item x="5"/>
        <item x="4"/>
        <item x="3"/>
        <item x="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1">
    <field x="8"/>
  </rowFields>
  <rowItems count="12">
    <i>
      <x/>
    </i>
    <i>
      <x v="1"/>
    </i>
    <i>
      <x v="2"/>
    </i>
    <i>
      <x v="3"/>
    </i>
    <i>
      <x v="4"/>
    </i>
    <i>
      <x v="5"/>
    </i>
    <i>
      <x v="6"/>
    </i>
    <i>
      <x v="7"/>
    </i>
    <i>
      <x v="8"/>
    </i>
    <i>
      <x v="9"/>
    </i>
    <i>
      <x v="10"/>
    </i>
    <i>
      <x v="11"/>
    </i>
  </rowItems>
  <colItems count="1">
    <i/>
  </colItems>
  <dataFields count="1">
    <dataField name="Total Distance (mi)" fld="2" baseField="8" baseItem="0" numFmtId="2"/>
  </dataFields>
  <formats count="10">
    <format dxfId="22">
      <pivotArea type="all" dataOnly="0" outline="0" fieldPosition="0"/>
    </format>
    <format dxfId="21">
      <pivotArea outline="0" collapsedLevelsAreSubtotals="1" fieldPosition="0"/>
    </format>
    <format dxfId="20">
      <pivotArea field="8" type="button" dataOnly="0" labelOnly="1" outline="0" axis="axisRow" fieldPosition="0"/>
    </format>
    <format dxfId="19">
      <pivotArea dataOnly="0" labelOnly="1" outline="0" fieldPosition="0">
        <references count="1">
          <reference field="8" count="0"/>
        </references>
      </pivotArea>
    </format>
    <format dxfId="18">
      <pivotArea dataOnly="0" labelOnly="1" outline="0" axis="axisValues" fieldPosition="0"/>
    </format>
    <format dxfId="17">
      <pivotArea type="all" dataOnly="0" outline="0" fieldPosition="0"/>
    </format>
    <format dxfId="16">
      <pivotArea field="8" type="button" dataOnly="0" labelOnly="1" outline="0" axis="axisRow" fieldPosition="0"/>
    </format>
    <format dxfId="15">
      <pivotArea dataOnly="0" labelOnly="1" outline="0" axis="axisValues" fieldPosition="0"/>
    </format>
    <format dxfId="14">
      <pivotArea outline="0" collapsedLevelsAreSubtotals="1" fieldPosition="0"/>
    </format>
    <format dxfId="13">
      <pivotArea dataOnly="0" labelOnly="1" outline="0" fieldPosition="0">
        <references count="1">
          <reference field="8" count="0"/>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E0824-E1CA-4A23-AFAC-FE6141FD1BFA}" name="ptMonthlyPac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G4:H16" firstHeaderRow="1" firstDataRow="1" firstDataCol="1"/>
  <pivotFields count="12">
    <pivotField compact="0" numFmtId="14" outline="0" showAll="0" defaultSubtotal="0"/>
    <pivotField compact="0" outline="0" showAll="0" defaultSubtotal="0"/>
    <pivotField compact="0" numFmtId="2" outline="0" showAll="0" defaultSubtotal="0"/>
    <pivotField dataField="1" compact="0" numFmtId="164" outline="0" showAll="0" defaultSubtotal="0"/>
    <pivotField compact="0" numFmtId="21" outline="0" showAll="0" defaultSubtotal="0"/>
    <pivotField compact="0" outline="0" showAll="0" defaultSubtotal="0"/>
    <pivotField compact="0" numFmtId="1" outline="0" showAll="0" defaultSubtotal="0"/>
    <pivotField compact="0" outline="0" showAll="0" defaultSubtotal="0">
      <items count="5">
        <item x="3"/>
        <item x="1"/>
        <item x="0"/>
        <item x="2"/>
        <item x="4"/>
      </items>
    </pivotField>
    <pivotField axis="axisRow" compact="0" numFmtId="165" outline="0" showAll="0" sortType="ascending" defaultSubtotal="0">
      <items count="12">
        <item x="11"/>
        <item x="10"/>
        <item x="9"/>
        <item x="8"/>
        <item x="7"/>
        <item x="6"/>
        <item x="5"/>
        <item x="4"/>
        <item x="3"/>
        <item x="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1">
    <field x="8"/>
  </rowFields>
  <rowItems count="12">
    <i>
      <x/>
    </i>
    <i>
      <x v="1"/>
    </i>
    <i>
      <x v="2"/>
    </i>
    <i>
      <x v="3"/>
    </i>
    <i>
      <x v="4"/>
    </i>
    <i>
      <x v="5"/>
    </i>
    <i>
      <x v="6"/>
    </i>
    <i>
      <x v="7"/>
    </i>
    <i>
      <x v="8"/>
    </i>
    <i>
      <x v="9"/>
    </i>
    <i>
      <x v="10"/>
    </i>
    <i>
      <x v="11"/>
    </i>
  </rowItems>
  <colItems count="1">
    <i/>
  </colItems>
  <dataFields count="1">
    <dataField name="Average Pace (min/mi)" fld="3" subtotal="average" baseField="8" baseItem="0" numFmtId="164"/>
  </dataFields>
  <formats count="10">
    <format dxfId="32">
      <pivotArea type="all" dataOnly="0" outline="0" fieldPosition="0"/>
    </format>
    <format dxfId="31">
      <pivotArea outline="0" collapsedLevelsAreSubtotals="1" fieldPosition="0"/>
    </format>
    <format dxfId="30">
      <pivotArea field="8" type="button" dataOnly="0" labelOnly="1" outline="0" axis="axisRow" fieldPosition="0"/>
    </format>
    <format dxfId="29">
      <pivotArea dataOnly="0" labelOnly="1" outline="0" fieldPosition="0">
        <references count="1">
          <reference field="8" count="0"/>
        </references>
      </pivotArea>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8" type="button" dataOnly="0" labelOnly="1" outline="0" axis="axisRow" fieldPosition="0"/>
    </format>
    <format dxfId="24">
      <pivotArea dataOnly="0" labelOnly="1" outline="0" axis="axisValues" fieldPosition="0"/>
    </format>
    <format dxfId="23">
      <pivotArea dataOnly="0" outline="0" fieldPosition="0">
        <references count="1">
          <reference field="8" count="0"/>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1" xr10:uid="{C90CF4C7-D916-4198-AE07-02CEED3682F4}" sourceName="Weather Condition">
  <pivotTables>
    <pivotTable tabId="2" name="ptMonthlySummary"/>
    <pivotTable tabId="2" name="ptMonthlyDistance"/>
    <pivotTable tabId="2" name="ptMonthlyPace"/>
  </pivotTables>
  <data>
    <tabular pivotCacheId="557085662">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Condition" xr10:uid="{517105B0-62BD-447A-97EA-075438517764}" sourceName="Weather Condition">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045B0CA-DEB6-4188-A74C-43BB360ACB31}" sourceName="Month">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Condition" xr10:uid="{12A09B55-68B0-419F-A558-FC8EC849926F}" cache="Slicer_Weather_Condition" caption="Filter by Weather" style="SlicerStyleDark1" rowHeight="241300"/>
  <slicer name="Month" xr10:uid="{46EEC9E6-1705-4A98-981C-834C03E40CBC}" cache="Slicer_Month" caption="Filter by Month"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Condition 1" xr10:uid="{04E88820-E114-4723-B706-A99A0BD7F9D7}" cache="Slicer_Weather_Condition1" caption="Filter Month Charts by Weather"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unLog" displayName="RunLog" ref="B9:J112">
  <autoFilter ref="B9:J112" xr:uid="{00000000-000C-0000-FFFF-FFFF00000000}"/>
  <tableColumns count="9">
    <tableColumn id="1" xr3:uid="{00000000-0010-0000-0000-000001000000}" name="Date" dataDxfId="41"/>
    <tableColumn id="2" xr3:uid="{00000000-0010-0000-0000-000002000000}" name="Start Time" dataDxfId="40"/>
    <tableColumn id="3" xr3:uid="{00000000-0010-0000-0000-000003000000}" name="Distance (mi)" dataDxfId="39"/>
    <tableColumn id="4" xr3:uid="{00000000-0010-0000-0000-000004000000}" name="Pace (min/mi)" dataDxfId="38"/>
    <tableColumn id="5" xr3:uid="{00000000-0010-0000-0000-000005000000}" name="Time (h:mm:ss)" dataDxfId="37"/>
    <tableColumn id="6" xr3:uid="{00000000-0010-0000-0000-000006000000}" name="Weather" dataDxfId="36"/>
    <tableColumn id="7" xr3:uid="{73C2E04F-E2CF-451B-BFB5-799B82EA70FD}" name="Temperature (°F)" dataDxfId="35">
      <calculatedColumnFormula>VALUE(LEFT(RunLog[[#This Row],[Weather]],FIND("°",RunLog[[#This Row],[Weather]])-1))</calculatedColumnFormula>
    </tableColumn>
    <tableColumn id="8" xr3:uid="{647E7939-591D-47D0-B4B9-1023A732382D}" name="Weather Condition" dataDxfId="34">
      <calculatedColumnFormula>TRIM(MID(RunLog[[#This Row],[Weather]],FIND(" ",RunLog[[#This Row],[Weather]])+1,LEN(RunLog[[#This Row],[Weather]])))</calculatedColumnFormula>
    </tableColumn>
    <tableColumn id="9" xr3:uid="{7D6A64AA-808E-47BB-A662-635935DC9364}" name="Month" dataDxfId="33">
      <calculatedColumnFormula>DATE(YEAR(RunLog[[#This Row],[Date]]),MONTH(RunLog[[#This Row],[Date]]),1)</calculatedColumnFormula>
    </tableColumn>
  </tableColumns>
  <tableStyleInfo name="RunTracker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 xr10:uid="{CA36ADB5-5587-43C3-9E14-8DE544A9B9DB}" sourceName="Month">
  <pivotTables>
    <pivotTable tabId="2" name="ptMonthlySummary"/>
    <pivotTable tabId="2" name="ptMonthlyDistance"/>
    <pivotTable tabId="2" name="ptMonthlyPace"/>
  </pivotTables>
  <state minimalRefreshVersion="6" lastRefreshVersion="6" pivotCacheId="55708566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1" xr10:uid="{1BADBC10-5774-44FC-B23E-26A6F173EF39}" cache="NativeTimeline_Month" caption="Filter Month Charts by Month" level="2" selectionLevel="2" scrollPosition="2025-07-18T00:00:00" style="TimeSlicerStyleDark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AAF704C-BD7A-4318-8A8B-6B53E7869C87}">
  <we:reference id="wa200009404" version="1.0.0.8" store="en-US" storeType="OMEX"/>
  <we:alternateReferences>
    <we:reference id="wa200009404" version="1.0.0.8" store="" storeType="OMEX"/>
  </we:alternateReferences>
  <we:properties>
    <we:property name="claude.fileId" value="&quot;585708c7-6231-4e75-9785-aec7eeac1b1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12"/>
  <sheetViews>
    <sheetView showGridLines="0" tabSelected="1" workbookViewId="0">
      <pane ySplit="9" topLeftCell="A10" activePane="bottomLeft" state="frozen"/>
      <selection pane="bottomLeft"/>
    </sheetView>
  </sheetViews>
  <sheetFormatPr defaultRowHeight="15" x14ac:dyDescent="0.25"/>
  <cols>
    <col min="1" max="1" width="3.7109375" customWidth="1"/>
    <col min="2" max="2" width="10.7109375" bestFit="1" customWidth="1"/>
    <col min="3" max="3" width="12.28515625" bestFit="1" customWidth="1"/>
    <col min="4" max="4" width="15" bestFit="1" customWidth="1"/>
    <col min="5" max="5" width="16" bestFit="1" customWidth="1"/>
    <col min="6" max="6" width="17.140625" bestFit="1" customWidth="1"/>
    <col min="7" max="7" width="16.7109375" bestFit="1" customWidth="1"/>
    <col min="8" max="8" width="18.5703125" bestFit="1" customWidth="1"/>
    <col min="9" max="9" width="20.5703125" bestFit="1" customWidth="1"/>
    <col min="10" max="10" width="9.28515625" bestFit="1" customWidth="1"/>
    <col min="11" max="11" width="3.7109375" customWidth="1"/>
  </cols>
  <sheetData>
    <row r="1" spans="2:10" ht="30" customHeight="1" x14ac:dyDescent="0.25">
      <c r="B1" s="28" t="s">
        <v>162</v>
      </c>
      <c r="C1" s="28"/>
      <c r="D1" s="28"/>
      <c r="E1" s="28"/>
      <c r="F1" s="28"/>
      <c r="G1" s="28"/>
      <c r="H1" s="28"/>
      <c r="I1" s="28"/>
      <c r="J1" s="28"/>
    </row>
    <row r="2" spans="2:10" ht="21.95" customHeight="1" x14ac:dyDescent="0.25">
      <c r="B2" s="27" t="s">
        <v>163</v>
      </c>
      <c r="C2" s="27"/>
      <c r="D2" s="27"/>
      <c r="E2" s="27" t="s">
        <v>169</v>
      </c>
      <c r="F2" s="27"/>
      <c r="G2" s="27"/>
      <c r="H2" s="27" t="s">
        <v>175</v>
      </c>
      <c r="I2" s="27"/>
      <c r="J2" s="27"/>
    </row>
    <row r="3" spans="2:10" ht="21.95" customHeight="1" x14ac:dyDescent="0.25">
      <c r="B3" s="26" t="s">
        <v>164</v>
      </c>
      <c r="C3" s="26"/>
      <c r="D3" s="9">
        <f>SUBTOTAL(101,RunLog[Pace (min/mi)])</f>
        <v>6.3251752966558819E-3</v>
      </c>
      <c r="E3" s="26" t="s">
        <v>170</v>
      </c>
      <c r="F3" s="26"/>
      <c r="G3" s="10" t="s">
        <v>172</v>
      </c>
      <c r="H3" s="29" t="s">
        <v>173</v>
      </c>
      <c r="I3" s="30"/>
      <c r="J3" s="9">
        <f>_xlfn.MINIFS(RunLog[Pace (min/mi)],RunLog[Distance (mi)],"&gt;=3")</f>
        <v>5.4861111111111109E-3</v>
      </c>
    </row>
    <row r="4" spans="2:10" ht="21.95" customHeight="1" x14ac:dyDescent="0.25">
      <c r="B4" s="26" t="s">
        <v>165</v>
      </c>
      <c r="C4" s="26"/>
      <c r="D4" s="11">
        <f>SUBTOTAL(101,RunLog[Time (h:mm:ss)])</f>
        <v>2.280969075871989E-2</v>
      </c>
      <c r="E4" s="26" t="s">
        <v>168</v>
      </c>
      <c r="F4" s="26"/>
      <c r="G4" s="12">
        <f>COUNTIFS(RunLog[Weather Condition],SelectedWeather)</f>
        <v>4</v>
      </c>
      <c r="H4" s="26" t="s">
        <v>174</v>
      </c>
      <c r="I4" s="26"/>
      <c r="J4" s="13" cm="1">
        <f t="array" ref="J4">_xlfn.XLOOKUP(1,(RunLog[Pace (min/mi)]=FastestQualifyingPace)*(RunLog[Distance (mi)]&gt;=3),RunLog[Date],"Not found")</f>
        <v>46087</v>
      </c>
    </row>
    <row r="5" spans="2:10" ht="21.95" customHeight="1" x14ac:dyDescent="0.25">
      <c r="B5" s="26" t="s">
        <v>166</v>
      </c>
      <c r="C5" s="26"/>
      <c r="D5" s="14">
        <f>SUBTOTAL(101,RunLog[Distance (mi)])</f>
        <v>3.5854368932038851</v>
      </c>
      <c r="E5" s="26" t="s">
        <v>167</v>
      </c>
      <c r="F5" s="26"/>
      <c r="G5" s="14">
        <f>SUMIFS(RunLog[Distance (mi)],RunLog[Weather Condition],SelectedWeather)</f>
        <v>12.290000000000001</v>
      </c>
      <c r="H5" s="26" t="s">
        <v>156</v>
      </c>
      <c r="I5" s="26"/>
      <c r="J5" s="14" cm="1">
        <f t="array" ref="J5">_xlfn.XLOOKUP(1,(RunLog[Pace (min/mi)]=FastestQualifyingPace)*(RunLog[Distance (mi)]&gt;=3),RunLog[Distance (mi)],"Not found")</f>
        <v>3.05</v>
      </c>
    </row>
    <row r="6" spans="2:10" ht="21.95" customHeight="1" x14ac:dyDescent="0.25">
      <c r="B6" s="26" t="s">
        <v>167</v>
      </c>
      <c r="C6" s="26"/>
      <c r="D6" s="14">
        <f>SUBTOTAL(109,RunLog[Distance (mi)])</f>
        <v>369.30000000000018</v>
      </c>
      <c r="E6" s="26" t="s">
        <v>164</v>
      </c>
      <c r="F6" s="26"/>
      <c r="G6" s="9">
        <f>AVERAGEIFS(RunLog[Pace (min/mi)],RunLog[Weather Condition],SelectedWeather)</f>
        <v>6.0850694444444442E-3</v>
      </c>
      <c r="H6" s="26" t="s">
        <v>159</v>
      </c>
      <c r="I6" s="26"/>
      <c r="J6" s="12" cm="1">
        <f t="array" ref="J6">_xlfn.XLOOKUP(1,(RunLog[Pace (min/mi)]=FastestQualifyingPace)*(RunLog[Distance (mi)]&gt;=3),RunLog[Temperature (°F)],"Not found")</f>
        <v>77</v>
      </c>
    </row>
    <row r="7" spans="2:10" ht="21.95" customHeight="1" x14ac:dyDescent="0.25">
      <c r="B7" s="26" t="s">
        <v>168</v>
      </c>
      <c r="C7" s="26"/>
      <c r="D7" s="12">
        <f>SUBTOTAL(103,RunLog[Date])</f>
        <v>103</v>
      </c>
      <c r="E7" s="26" t="s">
        <v>171</v>
      </c>
      <c r="F7" s="26"/>
      <c r="G7" s="14">
        <f>_xlfn.MAXIFS(RunLog[Distance (mi)],RunLog[Weather Condition],SelectedWeather)</f>
        <v>4.1399999999999997</v>
      </c>
      <c r="H7" s="26" t="s">
        <v>160</v>
      </c>
      <c r="I7" s="26"/>
      <c r="J7" s="15" t="str" cm="1">
        <f t="array" ref="J7">_xlfn.XLOOKUP(1,(RunLog[Pace (min/mi)]=FastestQualifyingPace)*(RunLog[Distance (mi)]&gt;=3),RunLog[Weather Condition],"Not found")</f>
        <v>Drizzle</v>
      </c>
    </row>
    <row r="9" spans="2:10" x14ac:dyDescent="0.25">
      <c r="B9" t="s">
        <v>0</v>
      </c>
      <c r="C9" t="s">
        <v>1</v>
      </c>
      <c r="D9" t="s">
        <v>156</v>
      </c>
      <c r="E9" t="s">
        <v>157</v>
      </c>
      <c r="F9" t="s">
        <v>158</v>
      </c>
      <c r="G9" t="s">
        <v>2</v>
      </c>
      <c r="H9" t="s">
        <v>159</v>
      </c>
      <c r="I9" t="s">
        <v>160</v>
      </c>
      <c r="J9" t="s">
        <v>161</v>
      </c>
    </row>
    <row r="10" spans="2:10" x14ac:dyDescent="0.25">
      <c r="B10" s="2">
        <v>46214</v>
      </c>
      <c r="C10" s="1" t="s">
        <v>3</v>
      </c>
      <c r="D10" s="8">
        <v>4.09</v>
      </c>
      <c r="E10" s="7">
        <v>7.0486111111111114E-3</v>
      </c>
      <c r="F10" s="6">
        <v>2.885416666666667E-2</v>
      </c>
      <c r="G10" s="4" t="s">
        <v>4</v>
      </c>
      <c r="H10" s="5">
        <f>VALUE(LEFT(RunLog[[#This Row],[Weather]],FIND("°",RunLog[[#This Row],[Weather]])-1))</f>
        <v>91</v>
      </c>
      <c r="I10" s="4" t="str">
        <f>TRIM(MID(RunLog[[#This Row],[Weather]],FIND(" ",RunLog[[#This Row],[Weather]])+1,LEN(RunLog[[#This Row],[Weather]])))</f>
        <v>Drizzle</v>
      </c>
      <c r="J10" s="3">
        <f>DATE(YEAR(RunLog[[#This Row],[Date]]),MONTH(RunLog[[#This Row],[Date]]),1)</f>
        <v>46204</v>
      </c>
    </row>
    <row r="11" spans="2:10" x14ac:dyDescent="0.25">
      <c r="B11" s="2">
        <v>46213</v>
      </c>
      <c r="C11" s="1" t="s">
        <v>5</v>
      </c>
      <c r="D11" s="8">
        <v>4.2</v>
      </c>
      <c r="E11" s="7">
        <v>5.8564814814814816E-3</v>
      </c>
      <c r="F11" s="6">
        <v>2.4548611111111111E-2</v>
      </c>
      <c r="G11" s="4" t="s">
        <v>6</v>
      </c>
      <c r="H11" s="5">
        <f>VALUE(LEFT(RunLog[[#This Row],[Weather]],FIND("°",RunLog[[#This Row],[Weather]])-1))</f>
        <v>86</v>
      </c>
      <c r="I11" s="4" t="str">
        <f>TRIM(MID(RunLog[[#This Row],[Weather]],FIND(" ",RunLog[[#This Row],[Weather]])+1,LEN(RunLog[[#This Row],[Weather]])))</f>
        <v>Cloudy</v>
      </c>
      <c r="J11" s="3">
        <f>DATE(YEAR(RunLog[[#This Row],[Date]]),MONTH(RunLog[[#This Row],[Date]]),1)</f>
        <v>46204</v>
      </c>
    </row>
    <row r="12" spans="2:10" x14ac:dyDescent="0.25">
      <c r="B12" s="2">
        <v>46212</v>
      </c>
      <c r="C12" s="1" t="s">
        <v>7</v>
      </c>
      <c r="D12" s="8">
        <v>2.4500000000000002</v>
      </c>
      <c r="E12" s="7">
        <v>6.4004629629629628E-3</v>
      </c>
      <c r="F12" s="6">
        <v>1.5671296296296301E-2</v>
      </c>
      <c r="G12" s="4" t="s">
        <v>8</v>
      </c>
      <c r="H12" s="5">
        <f>VALUE(LEFT(RunLog[[#This Row],[Weather]],FIND("°",RunLog[[#This Row],[Weather]])-1))</f>
        <v>88</v>
      </c>
      <c r="I12" s="4" t="str">
        <f>TRIM(MID(RunLog[[#This Row],[Weather]],FIND(" ",RunLog[[#This Row],[Weather]])+1,LEN(RunLog[[#This Row],[Weather]])))</f>
        <v>Drizzle</v>
      </c>
      <c r="J12" s="3">
        <f>DATE(YEAR(RunLog[[#This Row],[Date]]),MONTH(RunLog[[#This Row],[Date]]),1)</f>
        <v>46204</v>
      </c>
    </row>
    <row r="13" spans="2:10" x14ac:dyDescent="0.25">
      <c r="B13" s="2">
        <v>46211</v>
      </c>
      <c r="C13" s="1" t="s">
        <v>9</v>
      </c>
      <c r="D13" s="8">
        <v>3.97</v>
      </c>
      <c r="E13" s="7">
        <v>5.9953703703703714E-3</v>
      </c>
      <c r="F13" s="6">
        <v>2.3784722222222221E-2</v>
      </c>
      <c r="G13" s="4" t="s">
        <v>10</v>
      </c>
      <c r="H13" s="5">
        <f>VALUE(LEFT(RunLog[[#This Row],[Weather]],FIND("°",RunLog[[#This Row],[Weather]])-1))</f>
        <v>85</v>
      </c>
      <c r="I13" s="4" t="str">
        <f>TRIM(MID(RunLog[[#This Row],[Weather]],FIND(" ",RunLog[[#This Row],[Weather]])+1,LEN(RunLog[[#This Row],[Weather]])))</f>
        <v>Drizzle</v>
      </c>
      <c r="J13" s="3">
        <f>DATE(YEAR(RunLog[[#This Row],[Date]]),MONTH(RunLog[[#This Row],[Date]]),1)</f>
        <v>46204</v>
      </c>
    </row>
    <row r="14" spans="2:10" x14ac:dyDescent="0.25">
      <c r="B14" s="2">
        <v>46210</v>
      </c>
      <c r="C14" s="1" t="s">
        <v>11</v>
      </c>
      <c r="D14" s="8">
        <v>4.21</v>
      </c>
      <c r="E14" s="7">
        <v>6.3657407407407404E-3</v>
      </c>
      <c r="F14" s="6">
        <v>2.6782407407407411E-2</v>
      </c>
      <c r="G14" s="4" t="s">
        <v>12</v>
      </c>
      <c r="H14" s="5">
        <f>VALUE(LEFT(RunLog[[#This Row],[Weather]],FIND("°",RunLog[[#This Row],[Weather]])-1))</f>
        <v>83</v>
      </c>
      <c r="I14" s="4" t="str">
        <f>TRIM(MID(RunLog[[#This Row],[Weather]],FIND(" ",RunLog[[#This Row],[Weather]])+1,LEN(RunLog[[#This Row],[Weather]])))</f>
        <v>Partly cloudy</v>
      </c>
      <c r="J14" s="3">
        <f>DATE(YEAR(RunLog[[#This Row],[Date]]),MONTH(RunLog[[#This Row],[Date]]),1)</f>
        <v>46204</v>
      </c>
    </row>
    <row r="15" spans="2:10" x14ac:dyDescent="0.25">
      <c r="B15" s="2">
        <v>46204</v>
      </c>
      <c r="C15" s="1" t="s">
        <v>13</v>
      </c>
      <c r="D15" s="8">
        <v>4.38</v>
      </c>
      <c r="E15" s="7">
        <v>6.5972222222222222E-3</v>
      </c>
      <c r="F15" s="6">
        <v>2.8877314814814811E-2</v>
      </c>
      <c r="G15" s="4" t="s">
        <v>10</v>
      </c>
      <c r="H15" s="5">
        <f>VALUE(LEFT(RunLog[[#This Row],[Weather]],FIND("°",RunLog[[#This Row],[Weather]])-1))</f>
        <v>85</v>
      </c>
      <c r="I15" s="4" t="str">
        <f>TRIM(MID(RunLog[[#This Row],[Weather]],FIND(" ",RunLog[[#This Row],[Weather]])+1,LEN(RunLog[[#This Row],[Weather]])))</f>
        <v>Drizzle</v>
      </c>
      <c r="J15" s="3">
        <f>DATE(YEAR(RunLog[[#This Row],[Date]]),MONTH(RunLog[[#This Row],[Date]]),1)</f>
        <v>46204</v>
      </c>
    </row>
    <row r="16" spans="2:10" x14ac:dyDescent="0.25">
      <c r="B16" s="2">
        <v>46203</v>
      </c>
      <c r="C16" s="1" t="s">
        <v>14</v>
      </c>
      <c r="D16" s="8">
        <v>2.57</v>
      </c>
      <c r="E16" s="7">
        <v>7.1064814814814819E-3</v>
      </c>
      <c r="F16" s="6">
        <v>1.8263888888888889E-2</v>
      </c>
      <c r="G16" s="4" t="s">
        <v>15</v>
      </c>
      <c r="H16" s="5">
        <f>VALUE(LEFT(RunLog[[#This Row],[Weather]],FIND("°",RunLog[[#This Row],[Weather]])-1))</f>
        <v>89</v>
      </c>
      <c r="I16" s="4" t="str">
        <f>TRIM(MID(RunLog[[#This Row],[Weather]],FIND(" ",RunLog[[#This Row],[Weather]])+1,LEN(RunLog[[#This Row],[Weather]])))</f>
        <v>Partly cloudy</v>
      </c>
      <c r="J16" s="3">
        <f>DATE(YEAR(RunLog[[#This Row],[Date]]),MONTH(RunLog[[#This Row],[Date]]),1)</f>
        <v>46174</v>
      </c>
    </row>
    <row r="17" spans="2:10" x14ac:dyDescent="0.25">
      <c r="B17" s="2">
        <v>46202</v>
      </c>
      <c r="C17" s="1" t="s">
        <v>16</v>
      </c>
      <c r="D17" s="8">
        <v>4.1900000000000004</v>
      </c>
      <c r="E17" s="7">
        <v>5.8564814814814816E-3</v>
      </c>
      <c r="F17" s="6">
        <v>2.4537037037037041E-2</v>
      </c>
      <c r="G17" s="4" t="s">
        <v>17</v>
      </c>
      <c r="H17" s="5">
        <f>VALUE(LEFT(RunLog[[#This Row],[Weather]],FIND("°",RunLog[[#This Row],[Weather]])-1))</f>
        <v>89</v>
      </c>
      <c r="I17" s="4" t="str">
        <f>TRIM(MID(RunLog[[#This Row],[Weather]],FIND(" ",RunLog[[#This Row],[Weather]])+1,LEN(RunLog[[#This Row],[Weather]])))</f>
        <v>Drizzle</v>
      </c>
      <c r="J17" s="3">
        <f>DATE(YEAR(RunLog[[#This Row],[Date]]),MONTH(RunLog[[#This Row],[Date]]),1)</f>
        <v>46174</v>
      </c>
    </row>
    <row r="18" spans="2:10" x14ac:dyDescent="0.25">
      <c r="B18" s="2">
        <v>46199</v>
      </c>
      <c r="C18" s="1" t="s">
        <v>18</v>
      </c>
      <c r="D18" s="8">
        <v>4.29</v>
      </c>
      <c r="E18" s="7">
        <v>6.3425925925925924E-3</v>
      </c>
      <c r="F18" s="6">
        <v>2.7164351851851849E-2</v>
      </c>
      <c r="G18" s="4" t="s">
        <v>19</v>
      </c>
      <c r="H18" s="5">
        <f>VALUE(LEFT(RunLog[[#This Row],[Weather]],FIND("°",RunLog[[#This Row],[Weather]])-1))</f>
        <v>87</v>
      </c>
      <c r="I18" s="4" t="str">
        <f>TRIM(MID(RunLog[[#This Row],[Weather]],FIND(" ",RunLog[[#This Row],[Weather]])+1,LEN(RunLog[[#This Row],[Weather]])))</f>
        <v>Clear</v>
      </c>
      <c r="J18" s="3">
        <f>DATE(YEAR(RunLog[[#This Row],[Date]]),MONTH(RunLog[[#This Row],[Date]]),1)</f>
        <v>46174</v>
      </c>
    </row>
    <row r="19" spans="2:10" x14ac:dyDescent="0.25">
      <c r="B19" s="2">
        <v>46198</v>
      </c>
      <c r="C19" s="1" t="s">
        <v>20</v>
      </c>
      <c r="D19" s="8">
        <v>1.58</v>
      </c>
      <c r="E19" s="7">
        <v>5.324074074074074E-3</v>
      </c>
      <c r="F19" s="6">
        <v>8.4259259259259253E-3</v>
      </c>
      <c r="G19" s="4" t="s">
        <v>10</v>
      </c>
      <c r="H19" s="5">
        <f>VALUE(LEFT(RunLog[[#This Row],[Weather]],FIND("°",RunLog[[#This Row],[Weather]])-1))</f>
        <v>85</v>
      </c>
      <c r="I19" s="4" t="str">
        <f>TRIM(MID(RunLog[[#This Row],[Weather]],FIND(" ",RunLog[[#This Row],[Weather]])+1,LEN(RunLog[[#This Row],[Weather]])))</f>
        <v>Drizzle</v>
      </c>
      <c r="J19" s="3">
        <f>DATE(YEAR(RunLog[[#This Row],[Date]]),MONTH(RunLog[[#This Row],[Date]]),1)</f>
        <v>46174</v>
      </c>
    </row>
    <row r="20" spans="2:10" x14ac:dyDescent="0.25">
      <c r="B20" s="2">
        <v>46197</v>
      </c>
      <c r="C20" s="1" t="s">
        <v>21</v>
      </c>
      <c r="D20" s="8">
        <v>4.05</v>
      </c>
      <c r="E20" s="7">
        <v>6.2037037037037026E-3</v>
      </c>
      <c r="F20" s="6">
        <v>2.5150462962962961E-2</v>
      </c>
      <c r="G20" s="4" t="s">
        <v>22</v>
      </c>
      <c r="H20" s="5">
        <f>VALUE(LEFT(RunLog[[#This Row],[Weather]],FIND("°",RunLog[[#This Row],[Weather]])-1))</f>
        <v>88</v>
      </c>
      <c r="I20" s="4" t="str">
        <f>TRIM(MID(RunLog[[#This Row],[Weather]],FIND(" ",RunLog[[#This Row],[Weather]])+1,LEN(RunLog[[#This Row],[Weather]])))</f>
        <v>Partly cloudy</v>
      </c>
      <c r="J20" s="3">
        <f>DATE(YEAR(RunLog[[#This Row],[Date]]),MONTH(RunLog[[#This Row],[Date]]),1)</f>
        <v>46174</v>
      </c>
    </row>
    <row r="21" spans="2:10" x14ac:dyDescent="0.25">
      <c r="B21" s="2">
        <v>46196</v>
      </c>
      <c r="C21" s="1" t="s">
        <v>23</v>
      </c>
      <c r="D21" s="8">
        <v>2.98</v>
      </c>
      <c r="E21" s="7">
        <v>6.4930555555555557E-3</v>
      </c>
      <c r="F21" s="6">
        <v>1.9305555555555552E-2</v>
      </c>
      <c r="G21" s="4" t="s">
        <v>15</v>
      </c>
      <c r="H21" s="5">
        <f>VALUE(LEFT(RunLog[[#This Row],[Weather]],FIND("°",RunLog[[#This Row],[Weather]])-1))</f>
        <v>89</v>
      </c>
      <c r="I21" s="4" t="str">
        <f>TRIM(MID(RunLog[[#This Row],[Weather]],FIND(" ",RunLog[[#This Row],[Weather]])+1,LEN(RunLog[[#This Row],[Weather]])))</f>
        <v>Partly cloudy</v>
      </c>
      <c r="J21" s="3">
        <f>DATE(YEAR(RunLog[[#This Row],[Date]]),MONTH(RunLog[[#This Row],[Date]]),1)</f>
        <v>46174</v>
      </c>
    </row>
    <row r="22" spans="2:10" x14ac:dyDescent="0.25">
      <c r="B22" s="2">
        <v>46194</v>
      </c>
      <c r="C22" s="1" t="s">
        <v>24</v>
      </c>
      <c r="D22" s="8">
        <v>2.63</v>
      </c>
      <c r="E22" s="7">
        <v>5.6249999999999998E-3</v>
      </c>
      <c r="F22" s="6">
        <v>1.4756944444444441E-2</v>
      </c>
      <c r="G22" s="4" t="s">
        <v>25</v>
      </c>
      <c r="H22" s="5">
        <f>VALUE(LEFT(RunLog[[#This Row],[Weather]],FIND("°",RunLog[[#This Row],[Weather]])-1))</f>
        <v>86</v>
      </c>
      <c r="I22" s="4" t="str">
        <f>TRIM(MID(RunLog[[#This Row],[Weather]],FIND(" ",RunLog[[#This Row],[Weather]])+1,LEN(RunLog[[#This Row],[Weather]])))</f>
        <v>Drizzle</v>
      </c>
      <c r="J22" s="3">
        <f>DATE(YEAR(RunLog[[#This Row],[Date]]),MONTH(RunLog[[#This Row],[Date]]),1)</f>
        <v>46174</v>
      </c>
    </row>
    <row r="23" spans="2:10" x14ac:dyDescent="0.25">
      <c r="B23" s="2">
        <v>46193</v>
      </c>
      <c r="C23" s="1" t="s">
        <v>26</v>
      </c>
      <c r="D23" s="8">
        <v>2.9</v>
      </c>
      <c r="E23" s="7">
        <v>5.6712962962962967E-3</v>
      </c>
      <c r="F23" s="6">
        <v>1.6458333333333328E-2</v>
      </c>
      <c r="G23" s="4" t="s">
        <v>27</v>
      </c>
      <c r="H23" s="5">
        <f>VALUE(LEFT(RunLog[[#This Row],[Weather]],FIND("°",RunLog[[#This Row],[Weather]])-1))</f>
        <v>77</v>
      </c>
      <c r="I23" s="4" t="str">
        <f>TRIM(MID(RunLog[[#This Row],[Weather]],FIND(" ",RunLog[[#This Row],[Weather]])+1,LEN(RunLog[[#This Row],[Weather]])))</f>
        <v>Rain</v>
      </c>
      <c r="J23" s="3">
        <f>DATE(YEAR(RunLog[[#This Row],[Date]]),MONTH(RunLog[[#This Row],[Date]]),1)</f>
        <v>46174</v>
      </c>
    </row>
    <row r="24" spans="2:10" x14ac:dyDescent="0.25">
      <c r="B24" s="2">
        <v>46192</v>
      </c>
      <c r="C24" s="1" t="s">
        <v>28</v>
      </c>
      <c r="D24" s="8">
        <v>1.53</v>
      </c>
      <c r="E24" s="7">
        <v>5.347222222222222E-3</v>
      </c>
      <c r="F24" s="6">
        <v>8.1597222222222227E-3</v>
      </c>
      <c r="G24" s="4" t="s">
        <v>29</v>
      </c>
      <c r="H24" s="5">
        <f>VALUE(LEFT(RunLog[[#This Row],[Weather]],FIND("°",RunLog[[#This Row],[Weather]])-1))</f>
        <v>83</v>
      </c>
      <c r="I24" s="4" t="str">
        <f>TRIM(MID(RunLog[[#This Row],[Weather]],FIND(" ",RunLog[[#This Row],[Weather]])+1,LEN(RunLog[[#This Row],[Weather]])))</f>
        <v>Drizzle</v>
      </c>
      <c r="J24" s="3">
        <f>DATE(YEAR(RunLog[[#This Row],[Date]]),MONTH(RunLog[[#This Row],[Date]]),1)</f>
        <v>46174</v>
      </c>
    </row>
    <row r="25" spans="2:10" x14ac:dyDescent="0.25">
      <c r="B25" s="2">
        <v>46191</v>
      </c>
      <c r="C25" s="1" t="s">
        <v>30</v>
      </c>
      <c r="D25" s="8">
        <v>2.2599999999999998</v>
      </c>
      <c r="E25" s="7">
        <v>6.1342592592592586E-3</v>
      </c>
      <c r="F25" s="6">
        <v>1.3865740740740739E-2</v>
      </c>
      <c r="G25" s="4" t="s">
        <v>31</v>
      </c>
      <c r="H25" s="5">
        <f>VALUE(LEFT(RunLog[[#This Row],[Weather]],FIND("°",RunLog[[#This Row],[Weather]])-1))</f>
        <v>79</v>
      </c>
      <c r="I25" s="4" t="str">
        <f>TRIM(MID(RunLog[[#This Row],[Weather]],FIND(" ",RunLog[[#This Row],[Weather]])+1,LEN(RunLog[[#This Row],[Weather]])))</f>
        <v>Rain</v>
      </c>
      <c r="J25" s="3">
        <f>DATE(YEAR(RunLog[[#This Row],[Date]]),MONTH(RunLog[[#This Row],[Date]]),1)</f>
        <v>46174</v>
      </c>
    </row>
    <row r="26" spans="2:10" x14ac:dyDescent="0.25">
      <c r="B26" s="2">
        <v>46183</v>
      </c>
      <c r="C26" s="1" t="s">
        <v>9</v>
      </c>
      <c r="D26" s="8">
        <v>2.79</v>
      </c>
      <c r="E26" s="7">
        <v>6.6319444444444446E-3</v>
      </c>
      <c r="F26" s="6">
        <v>1.850694444444444E-2</v>
      </c>
      <c r="G26" s="4" t="s">
        <v>32</v>
      </c>
      <c r="H26" s="5">
        <f>VALUE(LEFT(RunLog[[#This Row],[Weather]],FIND("°",RunLog[[#This Row],[Weather]])-1))</f>
        <v>84</v>
      </c>
      <c r="I26" s="4" t="str">
        <f>TRIM(MID(RunLog[[#This Row],[Weather]],FIND(" ",RunLog[[#This Row],[Weather]])+1,LEN(RunLog[[#This Row],[Weather]])))</f>
        <v>Clear</v>
      </c>
      <c r="J26" s="3">
        <f>DATE(YEAR(RunLog[[#This Row],[Date]]),MONTH(RunLog[[#This Row],[Date]]),1)</f>
        <v>46174</v>
      </c>
    </row>
    <row r="27" spans="2:10" x14ac:dyDescent="0.25">
      <c r="B27" s="2">
        <v>46182</v>
      </c>
      <c r="C27" s="1" t="s">
        <v>33</v>
      </c>
      <c r="D27" s="8">
        <v>4.42</v>
      </c>
      <c r="E27" s="7">
        <v>5.9143518518518521E-3</v>
      </c>
      <c r="F27" s="6">
        <v>2.6180555555555551E-2</v>
      </c>
      <c r="G27" s="4" t="s">
        <v>12</v>
      </c>
      <c r="H27" s="5">
        <f>VALUE(LEFT(RunLog[[#This Row],[Weather]],FIND("°",RunLog[[#This Row],[Weather]])-1))</f>
        <v>83</v>
      </c>
      <c r="I27" s="4" t="str">
        <f>TRIM(MID(RunLog[[#This Row],[Weather]],FIND(" ",RunLog[[#This Row],[Weather]])+1,LEN(RunLog[[#This Row],[Weather]])))</f>
        <v>Partly cloudy</v>
      </c>
      <c r="J27" s="3">
        <f>DATE(YEAR(RunLog[[#This Row],[Date]]),MONTH(RunLog[[#This Row],[Date]]),1)</f>
        <v>46174</v>
      </c>
    </row>
    <row r="28" spans="2:10" x14ac:dyDescent="0.25">
      <c r="B28" s="2">
        <v>46181</v>
      </c>
      <c r="C28" s="1" t="s">
        <v>34</v>
      </c>
      <c r="D28" s="8">
        <v>2.97</v>
      </c>
      <c r="E28" s="7">
        <v>5.8796296296296296E-3</v>
      </c>
      <c r="F28" s="6">
        <v>1.7465277777777781E-2</v>
      </c>
      <c r="G28" s="4" t="s">
        <v>35</v>
      </c>
      <c r="H28" s="5">
        <f>VALUE(LEFT(RunLog[[#This Row],[Weather]],FIND("°",RunLog[[#This Row],[Weather]])-1))</f>
        <v>81</v>
      </c>
      <c r="I28" s="4" t="str">
        <f>TRIM(MID(RunLog[[#This Row],[Weather]],FIND(" ",RunLog[[#This Row],[Weather]])+1,LEN(RunLog[[#This Row],[Weather]])))</f>
        <v>Cloudy</v>
      </c>
      <c r="J28" s="3">
        <f>DATE(YEAR(RunLog[[#This Row],[Date]]),MONTH(RunLog[[#This Row],[Date]]),1)</f>
        <v>46174</v>
      </c>
    </row>
    <row r="29" spans="2:10" x14ac:dyDescent="0.25">
      <c r="B29" s="2">
        <v>46177</v>
      </c>
      <c r="C29" s="1" t="s">
        <v>36</v>
      </c>
      <c r="D29" s="8">
        <v>2.62</v>
      </c>
      <c r="E29" s="7">
        <v>6.3310185185185188E-3</v>
      </c>
      <c r="F29" s="6">
        <v>1.6574074074074071E-2</v>
      </c>
      <c r="G29" s="4" t="s">
        <v>37</v>
      </c>
      <c r="H29" s="5">
        <f>VALUE(LEFT(RunLog[[#This Row],[Weather]],FIND("°",RunLog[[#This Row],[Weather]])-1))</f>
        <v>80</v>
      </c>
      <c r="I29" s="4" t="str">
        <f>TRIM(MID(RunLog[[#This Row],[Weather]],FIND(" ",RunLog[[#This Row],[Weather]])+1,LEN(RunLog[[#This Row],[Weather]])))</f>
        <v>Cloudy</v>
      </c>
      <c r="J29" s="3">
        <f>DATE(YEAR(RunLog[[#This Row],[Date]]),MONTH(RunLog[[#This Row],[Date]]),1)</f>
        <v>46174</v>
      </c>
    </row>
    <row r="30" spans="2:10" x14ac:dyDescent="0.25">
      <c r="B30" s="2">
        <v>46176</v>
      </c>
      <c r="C30" s="1" t="s">
        <v>38</v>
      </c>
      <c r="D30" s="8">
        <v>4.5199999999999996</v>
      </c>
      <c r="E30" s="7">
        <v>6.1805555555555546E-3</v>
      </c>
      <c r="F30" s="6">
        <v>2.7905092592592589E-2</v>
      </c>
      <c r="G30" s="4" t="s">
        <v>39</v>
      </c>
      <c r="H30" s="5">
        <f>VALUE(LEFT(RunLog[[#This Row],[Weather]],FIND("°",RunLog[[#This Row],[Weather]])-1))</f>
        <v>79</v>
      </c>
      <c r="I30" s="4" t="str">
        <f>TRIM(MID(RunLog[[#This Row],[Weather]],FIND(" ",RunLog[[#This Row],[Weather]])+1,LEN(RunLog[[#This Row],[Weather]])))</f>
        <v>Cloudy</v>
      </c>
      <c r="J30" s="3">
        <f>DATE(YEAR(RunLog[[#This Row],[Date]]),MONTH(RunLog[[#This Row],[Date]]),1)</f>
        <v>46174</v>
      </c>
    </row>
    <row r="31" spans="2:10" x14ac:dyDescent="0.25">
      <c r="B31" s="2">
        <v>46170</v>
      </c>
      <c r="C31" s="1" t="s">
        <v>11</v>
      </c>
      <c r="D31" s="8">
        <v>4.54</v>
      </c>
      <c r="E31" s="7">
        <v>6.0185185185185194E-3</v>
      </c>
      <c r="F31" s="6">
        <v>2.736111111111111E-2</v>
      </c>
      <c r="G31" s="4" t="s">
        <v>35</v>
      </c>
      <c r="H31" s="5">
        <f>VALUE(LEFT(RunLog[[#This Row],[Weather]],FIND("°",RunLog[[#This Row],[Weather]])-1))</f>
        <v>81</v>
      </c>
      <c r="I31" s="4" t="str">
        <f>TRIM(MID(RunLog[[#This Row],[Weather]],FIND(" ",RunLog[[#This Row],[Weather]])+1,LEN(RunLog[[#This Row],[Weather]])))</f>
        <v>Cloudy</v>
      </c>
      <c r="J31" s="3">
        <f>DATE(YEAR(RunLog[[#This Row],[Date]]),MONTH(RunLog[[#This Row],[Date]]),1)</f>
        <v>46143</v>
      </c>
    </row>
    <row r="32" spans="2:10" x14ac:dyDescent="0.25">
      <c r="B32" s="2">
        <v>46169</v>
      </c>
      <c r="C32" s="1" t="s">
        <v>40</v>
      </c>
      <c r="D32" s="8">
        <v>4.0599999999999996</v>
      </c>
      <c r="E32" s="7">
        <v>6.2500000000000003E-3</v>
      </c>
      <c r="F32" s="6">
        <v>2.539351851851852E-2</v>
      </c>
      <c r="G32" s="4" t="s">
        <v>35</v>
      </c>
      <c r="H32" s="5">
        <f>VALUE(LEFT(RunLog[[#This Row],[Weather]],FIND("°",RunLog[[#This Row],[Weather]])-1))</f>
        <v>81</v>
      </c>
      <c r="I32" s="4" t="str">
        <f>TRIM(MID(RunLog[[#This Row],[Weather]],FIND(" ",RunLog[[#This Row],[Weather]])+1,LEN(RunLog[[#This Row],[Weather]])))</f>
        <v>Cloudy</v>
      </c>
      <c r="J32" s="3">
        <f>DATE(YEAR(RunLog[[#This Row],[Date]]),MONTH(RunLog[[#This Row],[Date]]),1)</f>
        <v>46143</v>
      </c>
    </row>
    <row r="33" spans="2:10" x14ac:dyDescent="0.25">
      <c r="B33" s="2">
        <v>46166</v>
      </c>
      <c r="C33" s="1" t="s">
        <v>41</v>
      </c>
      <c r="D33" s="8">
        <v>4.1399999999999997</v>
      </c>
      <c r="E33" s="7">
        <v>6.2152777777777779E-3</v>
      </c>
      <c r="F33" s="6">
        <v>2.5763888888888892E-2</v>
      </c>
      <c r="G33" s="4" t="s">
        <v>42</v>
      </c>
      <c r="H33" s="5">
        <f>VALUE(LEFT(RunLog[[#This Row],[Weather]],FIND("°",RunLog[[#This Row],[Weather]])-1))</f>
        <v>76</v>
      </c>
      <c r="I33" s="4" t="str">
        <f>TRIM(MID(RunLog[[#This Row],[Weather]],FIND(" ",RunLog[[#This Row],[Weather]])+1,LEN(RunLog[[#This Row],[Weather]])))</f>
        <v>Rain</v>
      </c>
      <c r="J33" s="3">
        <f>DATE(YEAR(RunLog[[#This Row],[Date]]),MONTH(RunLog[[#This Row],[Date]]),1)</f>
        <v>46143</v>
      </c>
    </row>
    <row r="34" spans="2:10" x14ac:dyDescent="0.25">
      <c r="B34" s="2">
        <v>46161</v>
      </c>
      <c r="C34" s="1" t="s">
        <v>43</v>
      </c>
      <c r="D34" s="8">
        <v>2.81</v>
      </c>
      <c r="E34" s="7">
        <v>6.0069444444444441E-3</v>
      </c>
      <c r="F34" s="6">
        <v>1.6863425925925931E-2</v>
      </c>
      <c r="G34" s="4" t="s">
        <v>44</v>
      </c>
      <c r="H34" s="5">
        <f>VALUE(LEFT(RunLog[[#This Row],[Weather]],FIND("°",RunLog[[#This Row],[Weather]])-1))</f>
        <v>80</v>
      </c>
      <c r="I34" s="4" t="str">
        <f>TRIM(MID(RunLog[[#This Row],[Weather]],FIND(" ",RunLog[[#This Row],[Weather]])+1,LEN(RunLog[[#This Row],[Weather]])))</f>
        <v>Partly cloudy</v>
      </c>
      <c r="J34" s="3">
        <f>DATE(YEAR(RunLog[[#This Row],[Date]]),MONTH(RunLog[[#This Row],[Date]]),1)</f>
        <v>46143</v>
      </c>
    </row>
    <row r="35" spans="2:10" x14ac:dyDescent="0.25">
      <c r="B35" s="2">
        <v>46160</v>
      </c>
      <c r="C35" s="1" t="s">
        <v>45</v>
      </c>
      <c r="D35" s="8">
        <v>4.34</v>
      </c>
      <c r="E35" s="7">
        <v>6.3194444444444444E-3</v>
      </c>
      <c r="F35" s="6">
        <v>2.7407407407407412E-2</v>
      </c>
      <c r="G35" s="4" t="s">
        <v>46</v>
      </c>
      <c r="H35" s="5">
        <f>VALUE(LEFT(RunLog[[#This Row],[Weather]],FIND("°",RunLog[[#This Row],[Weather]])-1))</f>
        <v>81</v>
      </c>
      <c r="I35" s="4" t="str">
        <f>TRIM(MID(RunLog[[#This Row],[Weather]],FIND(" ",RunLog[[#This Row],[Weather]])+1,LEN(RunLog[[#This Row],[Weather]])))</f>
        <v>Clear</v>
      </c>
      <c r="J35" s="3">
        <f>DATE(YEAR(RunLog[[#This Row],[Date]]),MONTH(RunLog[[#This Row],[Date]]),1)</f>
        <v>46143</v>
      </c>
    </row>
    <row r="36" spans="2:10" x14ac:dyDescent="0.25">
      <c r="B36" s="2">
        <v>46159</v>
      </c>
      <c r="C36" s="1" t="s">
        <v>47</v>
      </c>
      <c r="D36" s="8">
        <v>4.46</v>
      </c>
      <c r="E36" s="7">
        <v>6.1111111111111114E-3</v>
      </c>
      <c r="F36" s="6">
        <v>2.7222222222222221E-2</v>
      </c>
      <c r="G36" s="4" t="s">
        <v>48</v>
      </c>
      <c r="H36" s="5">
        <f>VALUE(LEFT(RunLog[[#This Row],[Weather]],FIND("°",RunLog[[#This Row],[Weather]])-1))</f>
        <v>80</v>
      </c>
      <c r="I36" s="4" t="str">
        <f>TRIM(MID(RunLog[[#This Row],[Weather]],FIND(" ",RunLog[[#This Row],[Weather]])+1,LEN(RunLog[[#This Row],[Weather]])))</f>
        <v>Drizzle</v>
      </c>
      <c r="J36" s="3">
        <f>DATE(YEAR(RunLog[[#This Row],[Date]]),MONTH(RunLog[[#This Row],[Date]]),1)</f>
        <v>46143</v>
      </c>
    </row>
    <row r="37" spans="2:10" x14ac:dyDescent="0.25">
      <c r="B37" s="2">
        <v>46148</v>
      </c>
      <c r="C37" s="1" t="s">
        <v>49</v>
      </c>
      <c r="D37" s="8">
        <v>4.18</v>
      </c>
      <c r="E37" s="7">
        <v>6.6435185185185182E-3</v>
      </c>
      <c r="F37" s="6">
        <v>2.778935185185185E-2</v>
      </c>
      <c r="G37" s="4" t="s">
        <v>50</v>
      </c>
      <c r="H37" s="5">
        <f>VALUE(LEFT(RunLog[[#This Row],[Weather]],FIND("°",RunLog[[#This Row],[Weather]])-1))</f>
        <v>78</v>
      </c>
      <c r="I37" s="4" t="str">
        <f>TRIM(MID(RunLog[[#This Row],[Weather]],FIND(" ",RunLog[[#This Row],[Weather]])+1,LEN(RunLog[[#This Row],[Weather]])))</f>
        <v>Cloudy</v>
      </c>
      <c r="J37" s="3">
        <f>DATE(YEAR(RunLog[[#This Row],[Date]]),MONTH(RunLog[[#This Row],[Date]]),1)</f>
        <v>46143</v>
      </c>
    </row>
    <row r="38" spans="2:10" x14ac:dyDescent="0.25">
      <c r="B38" s="2">
        <v>46147</v>
      </c>
      <c r="C38" s="1" t="s">
        <v>51</v>
      </c>
      <c r="D38" s="8">
        <v>3.98</v>
      </c>
      <c r="E38" s="7">
        <v>6.4467592592592588E-3</v>
      </c>
      <c r="F38" s="6">
        <v>2.569444444444444E-2</v>
      </c>
      <c r="G38" s="4" t="s">
        <v>52</v>
      </c>
      <c r="H38" s="5">
        <f>VALUE(LEFT(RunLog[[#This Row],[Weather]],FIND("°",RunLog[[#This Row],[Weather]])-1))</f>
        <v>76</v>
      </c>
      <c r="I38" s="4" t="str">
        <f>TRIM(MID(RunLog[[#This Row],[Weather]],FIND(" ",RunLog[[#This Row],[Weather]])+1,LEN(RunLog[[#This Row],[Weather]])))</f>
        <v>Cloudy</v>
      </c>
      <c r="J38" s="3">
        <f>DATE(YEAR(RunLog[[#This Row],[Date]]),MONTH(RunLog[[#This Row],[Date]]),1)</f>
        <v>46143</v>
      </c>
    </row>
    <row r="39" spans="2:10" x14ac:dyDescent="0.25">
      <c r="B39" s="2">
        <v>46141</v>
      </c>
      <c r="C39" s="1" t="s">
        <v>53</v>
      </c>
      <c r="D39" s="8">
        <v>3.97</v>
      </c>
      <c r="E39" s="7">
        <v>6.7476851851851864E-3</v>
      </c>
      <c r="F39" s="6">
        <v>2.675925925925926E-2</v>
      </c>
      <c r="G39" s="4" t="s">
        <v>54</v>
      </c>
      <c r="H39" s="5">
        <f>VALUE(LEFT(RunLog[[#This Row],[Weather]],FIND("°",RunLog[[#This Row],[Weather]])-1))</f>
        <v>84</v>
      </c>
      <c r="I39" s="4" t="str">
        <f>TRIM(MID(RunLog[[#This Row],[Weather]],FIND(" ",RunLog[[#This Row],[Weather]])+1,LEN(RunLog[[#This Row],[Weather]])))</f>
        <v>Cloudy</v>
      </c>
      <c r="J39" s="3">
        <f>DATE(YEAR(RunLog[[#This Row],[Date]]),MONTH(RunLog[[#This Row],[Date]]),1)</f>
        <v>46113</v>
      </c>
    </row>
    <row r="40" spans="2:10" x14ac:dyDescent="0.25">
      <c r="B40" s="2">
        <v>46140</v>
      </c>
      <c r="C40" s="1" t="s">
        <v>55</v>
      </c>
      <c r="D40" s="8">
        <v>2.74</v>
      </c>
      <c r="E40" s="7">
        <v>6.0416666666666674E-3</v>
      </c>
      <c r="F40" s="6">
        <v>1.653935185185185E-2</v>
      </c>
      <c r="G40" s="4" t="s">
        <v>37</v>
      </c>
      <c r="H40" s="5">
        <f>VALUE(LEFT(RunLog[[#This Row],[Weather]],FIND("°",RunLog[[#This Row],[Weather]])-1))</f>
        <v>80</v>
      </c>
      <c r="I40" s="4" t="str">
        <f>TRIM(MID(RunLog[[#This Row],[Weather]],FIND(" ",RunLog[[#This Row],[Weather]])+1,LEN(RunLog[[#This Row],[Weather]])))</f>
        <v>Cloudy</v>
      </c>
      <c r="J40" s="3">
        <f>DATE(YEAR(RunLog[[#This Row],[Date]]),MONTH(RunLog[[#This Row],[Date]]),1)</f>
        <v>46113</v>
      </c>
    </row>
    <row r="41" spans="2:10" x14ac:dyDescent="0.25">
      <c r="B41" s="2">
        <v>46139</v>
      </c>
      <c r="C41" s="1" t="s">
        <v>56</v>
      </c>
      <c r="D41" s="8">
        <v>5.62</v>
      </c>
      <c r="E41" s="7">
        <v>6.0416666666666674E-3</v>
      </c>
      <c r="F41" s="6">
        <v>3.3993055555555547E-2</v>
      </c>
      <c r="G41" s="4" t="s">
        <v>57</v>
      </c>
      <c r="H41" s="5">
        <f>VALUE(LEFT(RunLog[[#This Row],[Weather]],FIND("°",RunLog[[#This Row],[Weather]])-1))</f>
        <v>82</v>
      </c>
      <c r="I41" s="4" t="str">
        <f>TRIM(MID(RunLog[[#This Row],[Weather]],FIND(" ",RunLog[[#This Row],[Weather]])+1,LEN(RunLog[[#This Row],[Weather]])))</f>
        <v>Clear</v>
      </c>
      <c r="J41" s="3">
        <f>DATE(YEAR(RunLog[[#This Row],[Date]]),MONTH(RunLog[[#This Row],[Date]]),1)</f>
        <v>46113</v>
      </c>
    </row>
    <row r="42" spans="2:10" x14ac:dyDescent="0.25">
      <c r="B42" s="2">
        <v>46136</v>
      </c>
      <c r="C42" s="1" t="s">
        <v>40</v>
      </c>
      <c r="D42" s="8">
        <v>1.7</v>
      </c>
      <c r="E42" s="7">
        <v>6.5046296296296293E-3</v>
      </c>
      <c r="F42" s="6">
        <v>1.1064814814814821E-2</v>
      </c>
      <c r="G42" s="4" t="s">
        <v>52</v>
      </c>
      <c r="H42" s="5">
        <f>VALUE(LEFT(RunLog[[#This Row],[Weather]],FIND("°",RunLog[[#This Row],[Weather]])-1))</f>
        <v>76</v>
      </c>
      <c r="I42" s="4" t="str">
        <f>TRIM(MID(RunLog[[#This Row],[Weather]],FIND(" ",RunLog[[#This Row],[Weather]])+1,LEN(RunLog[[#This Row],[Weather]])))</f>
        <v>Cloudy</v>
      </c>
      <c r="J42" s="3">
        <f>DATE(YEAR(RunLog[[#This Row],[Date]]),MONTH(RunLog[[#This Row],[Date]]),1)</f>
        <v>46113</v>
      </c>
    </row>
    <row r="43" spans="2:10" x14ac:dyDescent="0.25">
      <c r="B43" s="2">
        <v>46135</v>
      </c>
      <c r="C43" s="1" t="s">
        <v>58</v>
      </c>
      <c r="D43" s="8">
        <v>4.43</v>
      </c>
      <c r="E43" s="7">
        <v>6.7013888888888887E-3</v>
      </c>
      <c r="F43" s="6">
        <v>2.9699074074074079E-2</v>
      </c>
      <c r="G43" s="4" t="s">
        <v>59</v>
      </c>
      <c r="H43" s="5">
        <f>VALUE(LEFT(RunLog[[#This Row],[Weather]],FIND("°",RunLog[[#This Row],[Weather]])-1))</f>
        <v>77</v>
      </c>
      <c r="I43" s="4" t="str">
        <f>TRIM(MID(RunLog[[#This Row],[Weather]],FIND(" ",RunLog[[#This Row],[Weather]])+1,LEN(RunLog[[#This Row],[Weather]])))</f>
        <v>Partly cloudy</v>
      </c>
      <c r="J43" s="3">
        <f>DATE(YEAR(RunLog[[#This Row],[Date]]),MONTH(RunLog[[#This Row],[Date]]),1)</f>
        <v>46113</v>
      </c>
    </row>
    <row r="44" spans="2:10" x14ac:dyDescent="0.25">
      <c r="B44" s="2">
        <v>46134</v>
      </c>
      <c r="C44" s="1" t="s">
        <v>60</v>
      </c>
      <c r="D44" s="8">
        <v>4.58</v>
      </c>
      <c r="E44" s="7">
        <v>5.9490740740740754E-3</v>
      </c>
      <c r="F44" s="6">
        <v>2.7256944444444441E-2</v>
      </c>
      <c r="G44" s="4" t="s">
        <v>61</v>
      </c>
      <c r="H44" s="5">
        <f>VALUE(LEFT(RunLog[[#This Row],[Weather]],FIND("°",RunLog[[#This Row],[Weather]])-1))</f>
        <v>78</v>
      </c>
      <c r="I44" s="4" t="str">
        <f>TRIM(MID(RunLog[[#This Row],[Weather]],FIND(" ",RunLog[[#This Row],[Weather]])+1,LEN(RunLog[[#This Row],[Weather]])))</f>
        <v>Partly cloudy</v>
      </c>
      <c r="J44" s="3">
        <f>DATE(YEAR(RunLog[[#This Row],[Date]]),MONTH(RunLog[[#This Row],[Date]]),1)</f>
        <v>46113</v>
      </c>
    </row>
    <row r="45" spans="2:10" x14ac:dyDescent="0.25">
      <c r="B45" s="2">
        <v>46133</v>
      </c>
      <c r="C45" s="1" t="s">
        <v>62</v>
      </c>
      <c r="D45" s="8">
        <v>4.54</v>
      </c>
      <c r="E45" s="7">
        <v>6.030092592592593E-3</v>
      </c>
      <c r="F45" s="6">
        <v>2.7395833333333331E-2</v>
      </c>
      <c r="G45" s="4" t="s">
        <v>63</v>
      </c>
      <c r="H45" s="5">
        <f>VALUE(LEFT(RunLog[[#This Row],[Weather]],FIND("°",RunLog[[#This Row],[Weather]])-1))</f>
        <v>75</v>
      </c>
      <c r="I45" s="4" t="str">
        <f>TRIM(MID(RunLog[[#This Row],[Weather]],FIND(" ",RunLog[[#This Row],[Weather]])+1,LEN(RunLog[[#This Row],[Weather]])))</f>
        <v>Cloudy</v>
      </c>
      <c r="J45" s="3">
        <f>DATE(YEAR(RunLog[[#This Row],[Date]]),MONTH(RunLog[[#This Row],[Date]]),1)</f>
        <v>46113</v>
      </c>
    </row>
    <row r="46" spans="2:10" x14ac:dyDescent="0.25">
      <c r="B46" s="2">
        <v>46128</v>
      </c>
      <c r="C46" s="1" t="s">
        <v>64</v>
      </c>
      <c r="D46" s="8">
        <v>2.99</v>
      </c>
      <c r="E46" s="7">
        <v>5.8217592592592592E-3</v>
      </c>
      <c r="F46" s="6">
        <v>1.743055555555556E-2</v>
      </c>
      <c r="G46" s="4" t="s">
        <v>44</v>
      </c>
      <c r="H46" s="5">
        <f>VALUE(LEFT(RunLog[[#This Row],[Weather]],FIND("°",RunLog[[#This Row],[Weather]])-1))</f>
        <v>80</v>
      </c>
      <c r="I46" s="4" t="str">
        <f>TRIM(MID(RunLog[[#This Row],[Weather]],FIND(" ",RunLog[[#This Row],[Weather]])+1,LEN(RunLog[[#This Row],[Weather]])))</f>
        <v>Partly cloudy</v>
      </c>
      <c r="J46" s="3">
        <f>DATE(YEAR(RunLog[[#This Row],[Date]]),MONTH(RunLog[[#This Row],[Date]]),1)</f>
        <v>46113</v>
      </c>
    </row>
    <row r="47" spans="2:10" x14ac:dyDescent="0.25">
      <c r="B47" s="2">
        <v>46127</v>
      </c>
      <c r="C47" s="1" t="s">
        <v>65</v>
      </c>
      <c r="D47" s="8">
        <v>5.64</v>
      </c>
      <c r="E47" s="7">
        <v>9.4675925925925934E-3</v>
      </c>
      <c r="F47" s="6">
        <v>5.3402777777777778E-2</v>
      </c>
      <c r="G47" s="4" t="s">
        <v>35</v>
      </c>
      <c r="H47" s="5">
        <f>VALUE(LEFT(RunLog[[#This Row],[Weather]],FIND("°",RunLog[[#This Row],[Weather]])-1))</f>
        <v>81</v>
      </c>
      <c r="I47" s="4" t="str">
        <f>TRIM(MID(RunLog[[#This Row],[Weather]],FIND(" ",RunLog[[#This Row],[Weather]])+1,LEN(RunLog[[#This Row],[Weather]])))</f>
        <v>Cloudy</v>
      </c>
      <c r="J47" s="3">
        <f>DATE(YEAR(RunLog[[#This Row],[Date]]),MONTH(RunLog[[#This Row],[Date]]),1)</f>
        <v>46113</v>
      </c>
    </row>
    <row r="48" spans="2:10" x14ac:dyDescent="0.25">
      <c r="B48" s="2">
        <v>46127</v>
      </c>
      <c r="C48" s="1" t="s">
        <v>66</v>
      </c>
      <c r="D48" s="8">
        <v>1.23</v>
      </c>
      <c r="E48" s="7">
        <v>6.5624999999999998E-3</v>
      </c>
      <c r="F48" s="6">
        <v>8.0787037037037043E-3</v>
      </c>
      <c r="G48" s="4" t="s">
        <v>35</v>
      </c>
      <c r="H48" s="5">
        <f>VALUE(LEFT(RunLog[[#This Row],[Weather]],FIND("°",RunLog[[#This Row],[Weather]])-1))</f>
        <v>81</v>
      </c>
      <c r="I48" s="4" t="str">
        <f>TRIM(MID(RunLog[[#This Row],[Weather]],FIND(" ",RunLog[[#This Row],[Weather]])+1,LEN(RunLog[[#This Row],[Weather]])))</f>
        <v>Cloudy</v>
      </c>
      <c r="J48" s="3">
        <f>DATE(YEAR(RunLog[[#This Row],[Date]]),MONTH(RunLog[[#This Row],[Date]]),1)</f>
        <v>46113</v>
      </c>
    </row>
    <row r="49" spans="2:10" x14ac:dyDescent="0.25">
      <c r="B49" s="2">
        <v>46123</v>
      </c>
      <c r="C49" s="1" t="s">
        <v>67</v>
      </c>
      <c r="D49" s="8">
        <v>4.63</v>
      </c>
      <c r="E49" s="7">
        <v>6.4351851851851853E-3</v>
      </c>
      <c r="F49" s="6">
        <v>2.9768518518518521E-2</v>
      </c>
      <c r="G49" s="4" t="s">
        <v>68</v>
      </c>
      <c r="H49" s="5">
        <f>VALUE(LEFT(RunLog[[#This Row],[Weather]],FIND("°",RunLog[[#This Row],[Weather]])-1))</f>
        <v>78</v>
      </c>
      <c r="I49" s="4" t="str">
        <f>TRIM(MID(RunLog[[#This Row],[Weather]],FIND(" ",RunLog[[#This Row],[Weather]])+1,LEN(RunLog[[#This Row],[Weather]])))</f>
        <v>Clear</v>
      </c>
      <c r="J49" s="3">
        <f>DATE(YEAR(RunLog[[#This Row],[Date]]),MONTH(RunLog[[#This Row],[Date]]),1)</f>
        <v>46113</v>
      </c>
    </row>
    <row r="50" spans="2:10" x14ac:dyDescent="0.25">
      <c r="B50" s="2">
        <v>46120</v>
      </c>
      <c r="C50" s="1" t="s">
        <v>69</v>
      </c>
      <c r="D50" s="8">
        <v>4.54</v>
      </c>
      <c r="E50" s="7">
        <v>6.053240740740741E-3</v>
      </c>
      <c r="F50" s="6">
        <v>2.747685185185185E-2</v>
      </c>
      <c r="G50" s="4" t="s">
        <v>70</v>
      </c>
      <c r="H50" s="5">
        <f>VALUE(LEFT(RunLog[[#This Row],[Weather]],FIND("°",RunLog[[#This Row],[Weather]])-1))</f>
        <v>71</v>
      </c>
      <c r="I50" s="4" t="str">
        <f>TRIM(MID(RunLog[[#This Row],[Weather]],FIND(" ",RunLog[[#This Row],[Weather]])+1,LEN(RunLog[[#This Row],[Weather]])))</f>
        <v>Clear</v>
      </c>
      <c r="J50" s="3">
        <f>DATE(YEAR(RunLog[[#This Row],[Date]]),MONTH(RunLog[[#This Row],[Date]]),1)</f>
        <v>46113</v>
      </c>
    </row>
    <row r="51" spans="2:10" x14ac:dyDescent="0.25">
      <c r="B51" s="2">
        <v>46113</v>
      </c>
      <c r="C51" s="1" t="s">
        <v>71</v>
      </c>
      <c r="D51" s="8">
        <v>2.81</v>
      </c>
      <c r="E51" s="7">
        <v>6.2962962962962964E-3</v>
      </c>
      <c r="F51" s="6">
        <v>1.7696759259259259E-2</v>
      </c>
      <c r="G51" s="4" t="s">
        <v>48</v>
      </c>
      <c r="H51" s="5">
        <f>VALUE(LEFT(RunLog[[#This Row],[Weather]],FIND("°",RunLog[[#This Row],[Weather]])-1))</f>
        <v>80</v>
      </c>
      <c r="I51" s="4" t="str">
        <f>TRIM(MID(RunLog[[#This Row],[Weather]],FIND(" ",RunLog[[#This Row],[Weather]])+1,LEN(RunLog[[#This Row],[Weather]])))</f>
        <v>Drizzle</v>
      </c>
      <c r="J51" s="3">
        <f>DATE(YEAR(RunLog[[#This Row],[Date]]),MONTH(RunLog[[#This Row],[Date]]),1)</f>
        <v>46113</v>
      </c>
    </row>
    <row r="52" spans="2:10" x14ac:dyDescent="0.25">
      <c r="B52" s="2">
        <v>46112</v>
      </c>
      <c r="C52" s="1" t="s">
        <v>9</v>
      </c>
      <c r="D52" s="8">
        <v>4.58</v>
      </c>
      <c r="E52" s="7">
        <v>6.0879629629629634E-3</v>
      </c>
      <c r="F52" s="6">
        <v>2.7881944444444449E-2</v>
      </c>
      <c r="G52" s="4" t="s">
        <v>72</v>
      </c>
      <c r="H52" s="5">
        <f>VALUE(LEFT(RunLog[[#This Row],[Weather]],FIND("°",RunLog[[#This Row],[Weather]])-1))</f>
        <v>75</v>
      </c>
      <c r="I52" s="4" t="str">
        <f>TRIM(MID(RunLog[[#This Row],[Weather]],FIND(" ",RunLog[[#This Row],[Weather]])+1,LEN(RunLog[[#This Row],[Weather]])))</f>
        <v>Partly cloudy</v>
      </c>
      <c r="J52" s="3">
        <f>DATE(YEAR(RunLog[[#This Row],[Date]]),MONTH(RunLog[[#This Row],[Date]]),1)</f>
        <v>46082</v>
      </c>
    </row>
    <row r="53" spans="2:10" x14ac:dyDescent="0.25">
      <c r="B53" s="2">
        <v>46108</v>
      </c>
      <c r="C53" s="1" t="s">
        <v>73</v>
      </c>
      <c r="D53" s="8">
        <v>4.6100000000000003</v>
      </c>
      <c r="E53" s="7">
        <v>6.8055555555555551E-3</v>
      </c>
      <c r="F53" s="6">
        <v>3.1331018518518522E-2</v>
      </c>
      <c r="G53" s="4" t="s">
        <v>12</v>
      </c>
      <c r="H53" s="5">
        <f>VALUE(LEFT(RunLog[[#This Row],[Weather]],FIND("°",RunLog[[#This Row],[Weather]])-1))</f>
        <v>83</v>
      </c>
      <c r="I53" s="4" t="str">
        <f>TRIM(MID(RunLog[[#This Row],[Weather]],FIND(" ",RunLog[[#This Row],[Weather]])+1,LEN(RunLog[[#This Row],[Weather]])))</f>
        <v>Partly cloudy</v>
      </c>
      <c r="J53" s="3">
        <f>DATE(YEAR(RunLog[[#This Row],[Date]]),MONTH(RunLog[[#This Row],[Date]]),1)</f>
        <v>46082</v>
      </c>
    </row>
    <row r="54" spans="2:10" x14ac:dyDescent="0.25">
      <c r="B54" s="2">
        <v>46107</v>
      </c>
      <c r="C54" s="1" t="s">
        <v>74</v>
      </c>
      <c r="D54" s="8">
        <v>4.5999999999999996</v>
      </c>
      <c r="E54" s="7">
        <v>6.0185185185185194E-3</v>
      </c>
      <c r="F54" s="6">
        <v>2.7662037037037041E-2</v>
      </c>
      <c r="G54" s="4" t="s">
        <v>75</v>
      </c>
      <c r="H54" s="5">
        <f>VALUE(LEFT(RunLog[[#This Row],[Weather]],FIND("°",RunLog[[#This Row],[Weather]])-1))</f>
        <v>80</v>
      </c>
      <c r="I54" s="4" t="str">
        <f>TRIM(MID(RunLog[[#This Row],[Weather]],FIND(" ",RunLog[[#This Row],[Weather]])+1,LEN(RunLog[[#This Row],[Weather]])))</f>
        <v>Clear</v>
      </c>
      <c r="J54" s="3">
        <f>DATE(YEAR(RunLog[[#This Row],[Date]]),MONTH(RunLog[[#This Row],[Date]]),1)</f>
        <v>46082</v>
      </c>
    </row>
    <row r="55" spans="2:10" x14ac:dyDescent="0.25">
      <c r="B55" s="2">
        <v>46104</v>
      </c>
      <c r="C55" s="1" t="s">
        <v>38</v>
      </c>
      <c r="D55" s="8">
        <v>4.68</v>
      </c>
      <c r="E55" s="7">
        <v>6.1574074074074066E-3</v>
      </c>
      <c r="F55" s="6">
        <v>2.884259259259259E-2</v>
      </c>
      <c r="G55" s="4" t="s">
        <v>57</v>
      </c>
      <c r="H55" s="5">
        <f>VALUE(LEFT(RunLog[[#This Row],[Weather]],FIND("°",RunLog[[#This Row],[Weather]])-1))</f>
        <v>82</v>
      </c>
      <c r="I55" s="4" t="str">
        <f>TRIM(MID(RunLog[[#This Row],[Weather]],FIND(" ",RunLog[[#This Row],[Weather]])+1,LEN(RunLog[[#This Row],[Weather]])))</f>
        <v>Clear</v>
      </c>
      <c r="J55" s="3">
        <f>DATE(YEAR(RunLog[[#This Row],[Date]]),MONTH(RunLog[[#This Row],[Date]]),1)</f>
        <v>46082</v>
      </c>
    </row>
    <row r="56" spans="2:10" x14ac:dyDescent="0.25">
      <c r="B56" s="2">
        <v>46101</v>
      </c>
      <c r="C56" s="1" t="s">
        <v>76</v>
      </c>
      <c r="D56" s="8">
        <v>4.5599999999999996</v>
      </c>
      <c r="E56" s="7">
        <v>6.0648148148148154E-3</v>
      </c>
      <c r="F56" s="6">
        <v>2.763888888888889E-2</v>
      </c>
      <c r="G56" s="4" t="s">
        <v>70</v>
      </c>
      <c r="H56" s="5">
        <f>VALUE(LEFT(RunLog[[#This Row],[Weather]],FIND("°",RunLog[[#This Row],[Weather]])-1))</f>
        <v>71</v>
      </c>
      <c r="I56" s="4" t="str">
        <f>TRIM(MID(RunLog[[#This Row],[Weather]],FIND(" ",RunLog[[#This Row],[Weather]])+1,LEN(RunLog[[#This Row],[Weather]])))</f>
        <v>Clear</v>
      </c>
      <c r="J56" s="3">
        <f>DATE(YEAR(RunLog[[#This Row],[Date]]),MONTH(RunLog[[#This Row],[Date]]),1)</f>
        <v>46082</v>
      </c>
    </row>
    <row r="57" spans="2:10" x14ac:dyDescent="0.25">
      <c r="B57" s="2">
        <v>46098</v>
      </c>
      <c r="C57" s="1" t="s">
        <v>77</v>
      </c>
      <c r="D57" s="8">
        <v>4.63</v>
      </c>
      <c r="E57" s="7">
        <v>6.2847222222222219E-3</v>
      </c>
      <c r="F57" s="6">
        <v>2.9108796296296299E-2</v>
      </c>
      <c r="G57" s="4" t="s">
        <v>78</v>
      </c>
      <c r="H57" s="5">
        <f>VALUE(LEFT(RunLog[[#This Row],[Weather]],FIND("°",RunLog[[#This Row],[Weather]])-1))</f>
        <v>53</v>
      </c>
      <c r="I57" s="4" t="str">
        <f>TRIM(MID(RunLog[[#This Row],[Weather]],FIND(" ",RunLog[[#This Row],[Weather]])+1,LEN(RunLog[[#This Row],[Weather]])))</f>
        <v>Clear</v>
      </c>
      <c r="J57" s="3">
        <f>DATE(YEAR(RunLog[[#This Row],[Date]]),MONTH(RunLog[[#This Row],[Date]]),1)</f>
        <v>46082</v>
      </c>
    </row>
    <row r="58" spans="2:10" x14ac:dyDescent="0.25">
      <c r="B58" s="2">
        <v>46094</v>
      </c>
      <c r="C58" s="1" t="s">
        <v>79</v>
      </c>
      <c r="D58" s="8">
        <v>2.94</v>
      </c>
      <c r="E58" s="7">
        <v>5.6944444444444447E-3</v>
      </c>
      <c r="F58" s="6">
        <v>1.6701388888888891E-2</v>
      </c>
      <c r="G58" s="4" t="s">
        <v>80</v>
      </c>
      <c r="H58" s="5">
        <f>VALUE(LEFT(RunLog[[#This Row],[Weather]],FIND("°",RunLog[[#This Row],[Weather]])-1))</f>
        <v>70</v>
      </c>
      <c r="I58" s="4" t="str">
        <f>TRIM(MID(RunLog[[#This Row],[Weather]],FIND(" ",RunLog[[#This Row],[Weather]])+1,LEN(RunLog[[#This Row],[Weather]])))</f>
        <v>Partly cloudy</v>
      </c>
      <c r="J58" s="3">
        <f>DATE(YEAR(RunLog[[#This Row],[Date]]),MONTH(RunLog[[#This Row],[Date]]),1)</f>
        <v>46082</v>
      </c>
    </row>
    <row r="59" spans="2:10" x14ac:dyDescent="0.25">
      <c r="B59" s="2">
        <v>46092</v>
      </c>
      <c r="C59" s="1" t="s">
        <v>81</v>
      </c>
      <c r="D59" s="8">
        <v>2.99</v>
      </c>
      <c r="E59" s="7">
        <v>6.3194444444444444E-3</v>
      </c>
      <c r="F59" s="6">
        <v>1.8888888888888889E-2</v>
      </c>
      <c r="G59" s="4" t="s">
        <v>82</v>
      </c>
      <c r="H59" s="5">
        <f>VALUE(LEFT(RunLog[[#This Row],[Weather]],FIND("°",RunLog[[#This Row],[Weather]])-1))</f>
        <v>72</v>
      </c>
      <c r="I59" s="4" t="str">
        <f>TRIM(MID(RunLog[[#This Row],[Weather]],FIND(" ",RunLog[[#This Row],[Weather]])+1,LEN(RunLog[[#This Row],[Weather]])))</f>
        <v>Rain</v>
      </c>
      <c r="J59" s="3">
        <f>DATE(YEAR(RunLog[[#This Row],[Date]]),MONTH(RunLog[[#This Row],[Date]]),1)</f>
        <v>46082</v>
      </c>
    </row>
    <row r="60" spans="2:10" x14ac:dyDescent="0.25">
      <c r="B60" s="2">
        <v>46090</v>
      </c>
      <c r="C60" s="1" t="s">
        <v>83</v>
      </c>
      <c r="D60" s="8">
        <v>2.9</v>
      </c>
      <c r="E60" s="7">
        <v>6.5046296296296293E-3</v>
      </c>
      <c r="F60" s="6">
        <v>1.8900462962962959E-2</v>
      </c>
      <c r="G60" s="4" t="s">
        <v>84</v>
      </c>
      <c r="H60" s="5">
        <f>VALUE(LEFT(RunLog[[#This Row],[Weather]],FIND("°",RunLog[[#This Row],[Weather]])-1))</f>
        <v>77</v>
      </c>
      <c r="I60" s="4" t="str">
        <f>TRIM(MID(RunLog[[#This Row],[Weather]],FIND(" ",RunLog[[#This Row],[Weather]])+1,LEN(RunLog[[#This Row],[Weather]])))</f>
        <v>Cloudy</v>
      </c>
      <c r="J60" s="3">
        <f>DATE(YEAR(RunLog[[#This Row],[Date]]),MONTH(RunLog[[#This Row],[Date]]),1)</f>
        <v>46082</v>
      </c>
    </row>
    <row r="61" spans="2:10" x14ac:dyDescent="0.25">
      <c r="B61" s="2">
        <v>46088</v>
      </c>
      <c r="C61" s="1" t="s">
        <v>85</v>
      </c>
      <c r="D61" s="8">
        <v>3.01</v>
      </c>
      <c r="E61" s="7">
        <v>6.2847222222222219E-3</v>
      </c>
      <c r="F61" s="6">
        <v>1.891203703703704E-2</v>
      </c>
      <c r="G61" s="4" t="s">
        <v>59</v>
      </c>
      <c r="H61" s="5">
        <f>VALUE(LEFT(RunLog[[#This Row],[Weather]],FIND("°",RunLog[[#This Row],[Weather]])-1))</f>
        <v>77</v>
      </c>
      <c r="I61" s="4" t="str">
        <f>TRIM(MID(RunLog[[#This Row],[Weather]],FIND(" ",RunLog[[#This Row],[Weather]])+1,LEN(RunLog[[#This Row],[Weather]])))</f>
        <v>Partly cloudy</v>
      </c>
      <c r="J61" s="3">
        <f>DATE(YEAR(RunLog[[#This Row],[Date]]),MONTH(RunLog[[#This Row],[Date]]),1)</f>
        <v>46082</v>
      </c>
    </row>
    <row r="62" spans="2:10" x14ac:dyDescent="0.25">
      <c r="B62" s="2">
        <v>46087</v>
      </c>
      <c r="C62" s="1" t="s">
        <v>86</v>
      </c>
      <c r="D62" s="8">
        <v>3.05</v>
      </c>
      <c r="E62" s="7">
        <v>5.4861111111111109E-3</v>
      </c>
      <c r="F62" s="6">
        <v>1.6701388888888891E-2</v>
      </c>
      <c r="G62" s="4" t="s">
        <v>87</v>
      </c>
      <c r="H62" s="5">
        <f>VALUE(LEFT(RunLog[[#This Row],[Weather]],FIND("°",RunLog[[#This Row],[Weather]])-1))</f>
        <v>77</v>
      </c>
      <c r="I62" s="4" t="str">
        <f>TRIM(MID(RunLog[[#This Row],[Weather]],FIND(" ",RunLog[[#This Row],[Weather]])+1,LEN(RunLog[[#This Row],[Weather]])))</f>
        <v>Drizzle</v>
      </c>
      <c r="J62" s="3">
        <f>DATE(YEAR(RunLog[[#This Row],[Date]]),MONTH(RunLog[[#This Row],[Date]]),1)</f>
        <v>46082</v>
      </c>
    </row>
    <row r="63" spans="2:10" x14ac:dyDescent="0.25">
      <c r="B63" s="2">
        <v>46085</v>
      </c>
      <c r="C63" s="1" t="s">
        <v>88</v>
      </c>
      <c r="D63" s="8">
        <v>4.57</v>
      </c>
      <c r="E63" s="7">
        <v>6.2500000000000003E-3</v>
      </c>
      <c r="F63" s="6">
        <v>2.8576388888888891E-2</v>
      </c>
      <c r="G63" s="4" t="s">
        <v>84</v>
      </c>
      <c r="H63" s="5">
        <f>VALUE(LEFT(RunLog[[#This Row],[Weather]],FIND("°",RunLog[[#This Row],[Weather]])-1))</f>
        <v>77</v>
      </c>
      <c r="I63" s="4" t="str">
        <f>TRIM(MID(RunLog[[#This Row],[Weather]],FIND(" ",RunLog[[#This Row],[Weather]])+1,LEN(RunLog[[#This Row],[Weather]])))</f>
        <v>Cloudy</v>
      </c>
      <c r="J63" s="3">
        <f>DATE(YEAR(RunLog[[#This Row],[Date]]),MONTH(RunLog[[#This Row],[Date]]),1)</f>
        <v>46082</v>
      </c>
    </row>
    <row r="64" spans="2:10" x14ac:dyDescent="0.25">
      <c r="B64" s="2">
        <v>46083</v>
      </c>
      <c r="C64" s="1" t="s">
        <v>89</v>
      </c>
      <c r="D64" s="8">
        <v>4.63</v>
      </c>
      <c r="E64" s="7">
        <v>6.4930555555555557E-3</v>
      </c>
      <c r="F64" s="6">
        <v>3.0081018518518521E-2</v>
      </c>
      <c r="G64" s="4" t="s">
        <v>90</v>
      </c>
      <c r="H64" s="5">
        <f>VALUE(LEFT(RunLog[[#This Row],[Weather]],FIND("°",RunLog[[#This Row],[Weather]])-1))</f>
        <v>76</v>
      </c>
      <c r="I64" s="4" t="str">
        <f>TRIM(MID(RunLog[[#This Row],[Weather]],FIND(" ",RunLog[[#This Row],[Weather]])+1,LEN(RunLog[[#This Row],[Weather]])))</f>
        <v>Clear</v>
      </c>
      <c r="J64" s="3">
        <f>DATE(YEAR(RunLog[[#This Row],[Date]]),MONTH(RunLog[[#This Row],[Date]]),1)</f>
        <v>46082</v>
      </c>
    </row>
    <row r="65" spans="2:10" x14ac:dyDescent="0.25">
      <c r="B65" s="2">
        <v>46081</v>
      </c>
      <c r="C65" s="1" t="s">
        <v>91</v>
      </c>
      <c r="D65" s="8">
        <v>3.61</v>
      </c>
      <c r="E65" s="7">
        <v>7.4652777777777781E-3</v>
      </c>
      <c r="F65" s="6">
        <v>2.6979166666666669E-2</v>
      </c>
      <c r="G65" s="4" t="s">
        <v>70</v>
      </c>
      <c r="H65" s="5">
        <f>VALUE(LEFT(RunLog[[#This Row],[Weather]],FIND("°",RunLog[[#This Row],[Weather]])-1))</f>
        <v>71</v>
      </c>
      <c r="I65" s="4" t="str">
        <f>TRIM(MID(RunLog[[#This Row],[Weather]],FIND(" ",RunLog[[#This Row],[Weather]])+1,LEN(RunLog[[#This Row],[Weather]])))</f>
        <v>Clear</v>
      </c>
      <c r="J65" s="3">
        <f>DATE(YEAR(RunLog[[#This Row],[Date]]),MONTH(RunLog[[#This Row],[Date]]),1)</f>
        <v>46054</v>
      </c>
    </row>
    <row r="66" spans="2:10" x14ac:dyDescent="0.25">
      <c r="B66" s="2">
        <v>46079</v>
      </c>
      <c r="C66" s="1" t="s">
        <v>92</v>
      </c>
      <c r="D66" s="8">
        <v>4.6100000000000003</v>
      </c>
      <c r="E66" s="7">
        <v>5.9722222222222234E-3</v>
      </c>
      <c r="F66" s="6">
        <v>2.7534722222222221E-2</v>
      </c>
      <c r="G66" s="4" t="s">
        <v>72</v>
      </c>
      <c r="H66" s="5">
        <f>VALUE(LEFT(RunLog[[#This Row],[Weather]],FIND("°",RunLog[[#This Row],[Weather]])-1))</f>
        <v>75</v>
      </c>
      <c r="I66" s="4" t="str">
        <f>TRIM(MID(RunLog[[#This Row],[Weather]],FIND(" ",RunLog[[#This Row],[Weather]])+1,LEN(RunLog[[#This Row],[Weather]])))</f>
        <v>Partly cloudy</v>
      </c>
      <c r="J66" s="3">
        <f>DATE(YEAR(RunLog[[#This Row],[Date]]),MONTH(RunLog[[#This Row],[Date]]),1)</f>
        <v>46054</v>
      </c>
    </row>
    <row r="67" spans="2:10" x14ac:dyDescent="0.25">
      <c r="B67" s="2">
        <v>46077</v>
      </c>
      <c r="C67" s="1" t="s">
        <v>93</v>
      </c>
      <c r="D67" s="8">
        <v>4.6100000000000003</v>
      </c>
      <c r="E67" s="7">
        <v>5.8333333333333336E-3</v>
      </c>
      <c r="F67" s="6">
        <v>2.6932870370370371E-2</v>
      </c>
      <c r="G67" s="4" t="s">
        <v>94</v>
      </c>
      <c r="H67" s="5">
        <f>VALUE(LEFT(RunLog[[#This Row],[Weather]],FIND("°",RunLog[[#This Row],[Weather]])-1))</f>
        <v>60</v>
      </c>
      <c r="I67" s="4" t="str">
        <f>TRIM(MID(RunLog[[#This Row],[Weather]],FIND(" ",RunLog[[#This Row],[Weather]])+1,LEN(RunLog[[#This Row],[Weather]])))</f>
        <v>Clear</v>
      </c>
      <c r="J67" s="3">
        <f>DATE(YEAR(RunLog[[#This Row],[Date]]),MONTH(RunLog[[#This Row],[Date]]),1)</f>
        <v>46054</v>
      </c>
    </row>
    <row r="68" spans="2:10" x14ac:dyDescent="0.25">
      <c r="B68" s="2">
        <v>46059</v>
      </c>
      <c r="C68" s="1" t="s">
        <v>56</v>
      </c>
      <c r="D68" s="8">
        <v>4.5199999999999996</v>
      </c>
      <c r="E68" s="7">
        <v>8.0208333333333329E-3</v>
      </c>
      <c r="F68" s="6">
        <v>3.6261574074074071E-2</v>
      </c>
      <c r="G68" s="4" t="s">
        <v>95</v>
      </c>
      <c r="H68" s="5">
        <f>VALUE(LEFT(RunLog[[#This Row],[Weather]],FIND("°",RunLog[[#This Row],[Weather]])-1))</f>
        <v>67</v>
      </c>
      <c r="I68" s="4" t="str">
        <f>TRIM(MID(RunLog[[#This Row],[Weather]],FIND(" ",RunLog[[#This Row],[Weather]])+1,LEN(RunLog[[#This Row],[Weather]])))</f>
        <v>Clear</v>
      </c>
      <c r="J68" s="3">
        <f>DATE(YEAR(RunLog[[#This Row],[Date]]),MONTH(RunLog[[#This Row],[Date]]),1)</f>
        <v>46054</v>
      </c>
    </row>
    <row r="69" spans="2:10" x14ac:dyDescent="0.25">
      <c r="B69" s="2">
        <v>46052</v>
      </c>
      <c r="C69" s="1" t="s">
        <v>96</v>
      </c>
      <c r="D69" s="8">
        <v>4.6100000000000003</v>
      </c>
      <c r="E69" s="7">
        <v>5.9722222222222234E-3</v>
      </c>
      <c r="F69" s="6">
        <v>2.7523148148148151E-2</v>
      </c>
      <c r="G69" s="4" t="s">
        <v>97</v>
      </c>
      <c r="H69" s="5">
        <f>VALUE(LEFT(RunLog[[#This Row],[Weather]],FIND("°",RunLog[[#This Row],[Weather]])-1))</f>
        <v>57</v>
      </c>
      <c r="I69" s="4" t="str">
        <f>TRIM(MID(RunLog[[#This Row],[Weather]],FIND(" ",RunLog[[#This Row],[Weather]])+1,LEN(RunLog[[#This Row],[Weather]])))</f>
        <v>Cloudy</v>
      </c>
      <c r="J69" s="3">
        <f>DATE(YEAR(RunLog[[#This Row],[Date]]),MONTH(RunLog[[#This Row],[Date]]),1)</f>
        <v>46023</v>
      </c>
    </row>
    <row r="70" spans="2:10" x14ac:dyDescent="0.25">
      <c r="B70" s="2">
        <v>46050</v>
      </c>
      <c r="C70" s="1" t="s">
        <v>92</v>
      </c>
      <c r="D70" s="8">
        <v>4.63</v>
      </c>
      <c r="E70" s="7">
        <v>6.122685185185185E-3</v>
      </c>
      <c r="F70" s="6">
        <v>2.8356481481481479E-2</v>
      </c>
      <c r="G70" s="4" t="s">
        <v>98</v>
      </c>
      <c r="H70" s="5">
        <f>VALUE(LEFT(RunLog[[#This Row],[Weather]],FIND("°",RunLog[[#This Row],[Weather]])-1))</f>
        <v>49</v>
      </c>
      <c r="I70" s="4" t="str">
        <f>TRIM(MID(RunLog[[#This Row],[Weather]],FIND(" ",RunLog[[#This Row],[Weather]])+1,LEN(RunLog[[#This Row],[Weather]])))</f>
        <v>Clear</v>
      </c>
      <c r="J70" s="3">
        <f>DATE(YEAR(RunLog[[#This Row],[Date]]),MONTH(RunLog[[#This Row],[Date]]),1)</f>
        <v>46023</v>
      </c>
    </row>
    <row r="71" spans="2:10" x14ac:dyDescent="0.25">
      <c r="B71" s="2">
        <v>46049</v>
      </c>
      <c r="C71" s="1" t="s">
        <v>99</v>
      </c>
      <c r="D71" s="8">
        <v>4.6100000000000003</v>
      </c>
      <c r="E71" s="7">
        <v>6.2731481481481484E-3</v>
      </c>
      <c r="F71" s="6">
        <v>2.886574074074074E-2</v>
      </c>
      <c r="G71" s="4" t="s">
        <v>100</v>
      </c>
      <c r="H71" s="5">
        <f>VALUE(LEFT(RunLog[[#This Row],[Weather]],FIND("°",RunLog[[#This Row],[Weather]])-1))</f>
        <v>41</v>
      </c>
      <c r="I71" s="4" t="str">
        <f>TRIM(MID(RunLog[[#This Row],[Weather]],FIND(" ",RunLog[[#This Row],[Weather]])+1,LEN(RunLog[[#This Row],[Weather]])))</f>
        <v>Clear</v>
      </c>
      <c r="J71" s="3">
        <f>DATE(YEAR(RunLog[[#This Row],[Date]]),MONTH(RunLog[[#This Row],[Date]]),1)</f>
        <v>46023</v>
      </c>
    </row>
    <row r="72" spans="2:10" x14ac:dyDescent="0.25">
      <c r="B72" s="2">
        <v>46044</v>
      </c>
      <c r="C72" s="1" t="s">
        <v>101</v>
      </c>
      <c r="D72" s="8">
        <v>4.66</v>
      </c>
      <c r="E72" s="7">
        <v>6.3425925925925924E-3</v>
      </c>
      <c r="F72" s="6">
        <v>2.958333333333333E-2</v>
      </c>
      <c r="G72" s="4" t="s">
        <v>80</v>
      </c>
      <c r="H72" s="5">
        <f>VALUE(LEFT(RunLog[[#This Row],[Weather]],FIND("°",RunLog[[#This Row],[Weather]])-1))</f>
        <v>70</v>
      </c>
      <c r="I72" s="4" t="str">
        <f>TRIM(MID(RunLog[[#This Row],[Weather]],FIND(" ",RunLog[[#This Row],[Weather]])+1,LEN(RunLog[[#This Row],[Weather]])))</f>
        <v>Partly cloudy</v>
      </c>
      <c r="J72" s="3">
        <f>DATE(YEAR(RunLog[[#This Row],[Date]]),MONTH(RunLog[[#This Row],[Date]]),1)</f>
        <v>46023</v>
      </c>
    </row>
    <row r="73" spans="2:10" x14ac:dyDescent="0.25">
      <c r="B73" s="2">
        <v>46043</v>
      </c>
      <c r="C73" s="1" t="s">
        <v>102</v>
      </c>
      <c r="D73" s="8">
        <v>2.97</v>
      </c>
      <c r="E73" s="7">
        <v>6.3078703703703708E-3</v>
      </c>
      <c r="F73" s="6">
        <v>1.8703703703703708E-2</v>
      </c>
      <c r="G73" s="4" t="s">
        <v>103</v>
      </c>
      <c r="H73" s="5">
        <f>VALUE(LEFT(RunLog[[#This Row],[Weather]],FIND("°",RunLog[[#This Row],[Weather]])-1))</f>
        <v>67</v>
      </c>
      <c r="I73" s="4" t="str">
        <f>TRIM(MID(RunLog[[#This Row],[Weather]],FIND(" ",RunLog[[#This Row],[Weather]])+1,LEN(RunLog[[#This Row],[Weather]])))</f>
        <v>Cloudy</v>
      </c>
      <c r="J73" s="3">
        <f>DATE(YEAR(RunLog[[#This Row],[Date]]),MONTH(RunLog[[#This Row],[Date]]),1)</f>
        <v>46023</v>
      </c>
    </row>
    <row r="74" spans="2:10" x14ac:dyDescent="0.25">
      <c r="B74" s="2">
        <v>46041</v>
      </c>
      <c r="C74" s="1" t="s">
        <v>104</v>
      </c>
      <c r="D74" s="8">
        <v>4.72</v>
      </c>
      <c r="E74" s="7">
        <v>6.6203703703703702E-3</v>
      </c>
      <c r="F74" s="6">
        <v>3.1284722222222221E-2</v>
      </c>
      <c r="G74" s="4" t="s">
        <v>105</v>
      </c>
      <c r="H74" s="5">
        <f>VALUE(LEFT(RunLog[[#This Row],[Weather]],FIND("°",RunLog[[#This Row],[Weather]])-1))</f>
        <v>54</v>
      </c>
      <c r="I74" s="4" t="str">
        <f>TRIM(MID(RunLog[[#This Row],[Weather]],FIND(" ",RunLog[[#This Row],[Weather]])+1,LEN(RunLog[[#This Row],[Weather]])))</f>
        <v>Clear</v>
      </c>
      <c r="J74" s="3">
        <f>DATE(YEAR(RunLog[[#This Row],[Date]]),MONTH(RunLog[[#This Row],[Date]]),1)</f>
        <v>46023</v>
      </c>
    </row>
    <row r="75" spans="2:10" x14ac:dyDescent="0.25">
      <c r="B75" s="2">
        <v>46036</v>
      </c>
      <c r="C75" s="1" t="s">
        <v>106</v>
      </c>
      <c r="D75" s="8">
        <v>2.9</v>
      </c>
      <c r="E75" s="7">
        <v>6.6898148148148151E-3</v>
      </c>
      <c r="F75" s="6">
        <v>1.938657407407407E-2</v>
      </c>
      <c r="G75" s="4" t="s">
        <v>107</v>
      </c>
      <c r="H75" s="5">
        <f>VALUE(LEFT(RunLog[[#This Row],[Weather]],FIND("°",RunLog[[#This Row],[Weather]])-1))</f>
        <v>66</v>
      </c>
      <c r="I75" s="4" t="str">
        <f>TRIM(MID(RunLog[[#This Row],[Weather]],FIND(" ",RunLog[[#This Row],[Weather]])+1,LEN(RunLog[[#This Row],[Weather]])))</f>
        <v>Cloudy</v>
      </c>
      <c r="J75" s="3">
        <f>DATE(YEAR(RunLog[[#This Row],[Date]]),MONTH(RunLog[[#This Row],[Date]]),1)</f>
        <v>46023</v>
      </c>
    </row>
    <row r="76" spans="2:10" x14ac:dyDescent="0.25">
      <c r="B76" s="2">
        <v>46008</v>
      </c>
      <c r="C76" s="1" t="s">
        <v>108</v>
      </c>
      <c r="D76" s="8">
        <v>4.68</v>
      </c>
      <c r="E76" s="7">
        <v>6.4004629629629628E-3</v>
      </c>
      <c r="F76" s="6">
        <v>2.9942129629629631E-2</v>
      </c>
      <c r="G76" s="4" t="s">
        <v>109</v>
      </c>
      <c r="H76" s="5">
        <f>VALUE(LEFT(RunLog[[#This Row],[Weather]],FIND("°",RunLog[[#This Row],[Weather]])-1))</f>
        <v>63</v>
      </c>
      <c r="I76" s="4" t="str">
        <f>TRIM(MID(RunLog[[#This Row],[Weather]],FIND(" ",RunLog[[#This Row],[Weather]])+1,LEN(RunLog[[#This Row],[Weather]])))</f>
        <v>Cloudy</v>
      </c>
      <c r="J76" s="3">
        <f>DATE(YEAR(RunLog[[#This Row],[Date]]),MONTH(RunLog[[#This Row],[Date]]),1)</f>
        <v>45992</v>
      </c>
    </row>
    <row r="77" spans="2:10" x14ac:dyDescent="0.25">
      <c r="B77" s="2">
        <v>46007</v>
      </c>
      <c r="C77" s="1" t="s">
        <v>106</v>
      </c>
      <c r="D77" s="8">
        <v>2.95</v>
      </c>
      <c r="E77" s="7">
        <v>5.9259259259259256E-3</v>
      </c>
      <c r="F77" s="6">
        <v>1.7476851851851851E-2</v>
      </c>
      <c r="G77" s="4" t="s">
        <v>110</v>
      </c>
      <c r="H77" s="5">
        <f>VALUE(LEFT(RunLog[[#This Row],[Weather]],FIND("°",RunLog[[#This Row],[Weather]])-1))</f>
        <v>62</v>
      </c>
      <c r="I77" s="4" t="str">
        <f>TRIM(MID(RunLog[[#This Row],[Weather]],FIND(" ",RunLog[[#This Row],[Weather]])+1,LEN(RunLog[[#This Row],[Weather]])))</f>
        <v>Cloudy</v>
      </c>
      <c r="J77" s="3">
        <f>DATE(YEAR(RunLog[[#This Row],[Date]]),MONTH(RunLog[[#This Row],[Date]]),1)</f>
        <v>45992</v>
      </c>
    </row>
    <row r="78" spans="2:10" x14ac:dyDescent="0.25">
      <c r="B78" s="2">
        <v>46002</v>
      </c>
      <c r="C78" s="1" t="s">
        <v>111</v>
      </c>
      <c r="D78" s="8">
        <v>3.02</v>
      </c>
      <c r="E78" s="7">
        <v>6.4699074074074077E-3</v>
      </c>
      <c r="F78" s="6">
        <v>1.951388888888889E-2</v>
      </c>
      <c r="G78" s="4" t="s">
        <v>112</v>
      </c>
      <c r="H78" s="5">
        <f>VALUE(LEFT(RunLog[[#This Row],[Weather]],FIND("°",RunLog[[#This Row],[Weather]])-1))</f>
        <v>58</v>
      </c>
      <c r="I78" s="4" t="str">
        <f>TRIM(MID(RunLog[[#This Row],[Weather]],FIND(" ",RunLog[[#This Row],[Weather]])+1,LEN(RunLog[[#This Row],[Weather]])))</f>
        <v>Clear</v>
      </c>
      <c r="J78" s="3">
        <f>DATE(YEAR(RunLog[[#This Row],[Date]]),MONTH(RunLog[[#This Row],[Date]]),1)</f>
        <v>45992</v>
      </c>
    </row>
    <row r="79" spans="2:10" x14ac:dyDescent="0.25">
      <c r="B79" s="2">
        <v>46001</v>
      </c>
      <c r="C79" s="1" t="s">
        <v>113</v>
      </c>
      <c r="D79" s="8">
        <v>2.93</v>
      </c>
      <c r="E79" s="7">
        <v>6.0416666666666674E-3</v>
      </c>
      <c r="F79" s="6">
        <v>1.7685185185185189E-2</v>
      </c>
      <c r="G79" s="4" t="s">
        <v>70</v>
      </c>
      <c r="H79" s="5">
        <f>VALUE(LEFT(RunLog[[#This Row],[Weather]],FIND("°",RunLog[[#This Row],[Weather]])-1))</f>
        <v>71</v>
      </c>
      <c r="I79" s="4" t="str">
        <f>TRIM(MID(RunLog[[#This Row],[Weather]],FIND(" ",RunLog[[#This Row],[Weather]])+1,LEN(RunLog[[#This Row],[Weather]])))</f>
        <v>Clear</v>
      </c>
      <c r="J79" s="3">
        <f>DATE(YEAR(RunLog[[#This Row],[Date]]),MONTH(RunLog[[#This Row],[Date]]),1)</f>
        <v>45992</v>
      </c>
    </row>
    <row r="80" spans="2:10" x14ac:dyDescent="0.25">
      <c r="B80" s="2">
        <v>45999</v>
      </c>
      <c r="C80" s="1" t="s">
        <v>114</v>
      </c>
      <c r="D80" s="8">
        <v>2.91</v>
      </c>
      <c r="E80" s="7">
        <v>5.9375000000000001E-3</v>
      </c>
      <c r="F80" s="6">
        <v>1.7256944444444439E-2</v>
      </c>
      <c r="G80" s="4" t="s">
        <v>115</v>
      </c>
      <c r="H80" s="5">
        <f>VALUE(LEFT(RunLog[[#This Row],[Weather]],FIND("°",RunLog[[#This Row],[Weather]])-1))</f>
        <v>56</v>
      </c>
      <c r="I80" s="4" t="str">
        <f>TRIM(MID(RunLog[[#This Row],[Weather]],FIND(" ",RunLog[[#This Row],[Weather]])+1,LEN(RunLog[[#This Row],[Weather]])))</f>
        <v>Cloudy</v>
      </c>
      <c r="J80" s="3">
        <f>DATE(YEAR(RunLog[[#This Row],[Date]]),MONTH(RunLog[[#This Row],[Date]]),1)</f>
        <v>45992</v>
      </c>
    </row>
    <row r="81" spans="2:10" x14ac:dyDescent="0.25">
      <c r="B81" s="2">
        <v>45989</v>
      </c>
      <c r="C81" s="1" t="s">
        <v>116</v>
      </c>
      <c r="D81" s="8">
        <v>4.6500000000000004</v>
      </c>
      <c r="E81" s="7">
        <v>6.1342592592592586E-3</v>
      </c>
      <c r="F81" s="6">
        <v>2.855324074074074E-2</v>
      </c>
      <c r="G81" s="4" t="s">
        <v>115</v>
      </c>
      <c r="H81" s="5">
        <f>VALUE(LEFT(RunLog[[#This Row],[Weather]],FIND("°",RunLog[[#This Row],[Weather]])-1))</f>
        <v>56</v>
      </c>
      <c r="I81" s="4" t="str">
        <f>TRIM(MID(RunLog[[#This Row],[Weather]],FIND(" ",RunLog[[#This Row],[Weather]])+1,LEN(RunLog[[#This Row],[Weather]])))</f>
        <v>Cloudy</v>
      </c>
      <c r="J81" s="3">
        <f>DATE(YEAR(RunLog[[#This Row],[Date]]),MONTH(RunLog[[#This Row],[Date]]),1)</f>
        <v>45962</v>
      </c>
    </row>
    <row r="82" spans="2:10" x14ac:dyDescent="0.25">
      <c r="B82" s="2">
        <v>45987</v>
      </c>
      <c r="C82" s="1" t="s">
        <v>117</v>
      </c>
      <c r="D82" s="8">
        <v>2.98</v>
      </c>
      <c r="E82" s="7">
        <v>6.3541666666666668E-3</v>
      </c>
      <c r="F82" s="6">
        <v>1.894675925925926E-2</v>
      </c>
      <c r="G82" s="4" t="s">
        <v>118</v>
      </c>
      <c r="H82" s="5">
        <f>VALUE(LEFT(RunLog[[#This Row],[Weather]],FIND("°",RunLog[[#This Row],[Weather]])-1))</f>
        <v>68</v>
      </c>
      <c r="I82" s="4" t="str">
        <f>TRIM(MID(RunLog[[#This Row],[Weather]],FIND(" ",RunLog[[#This Row],[Weather]])+1,LEN(RunLog[[#This Row],[Weather]])))</f>
        <v>Cloudy</v>
      </c>
      <c r="J82" s="3">
        <f>DATE(YEAR(RunLog[[#This Row],[Date]]),MONTH(RunLog[[#This Row],[Date]]),1)</f>
        <v>45962</v>
      </c>
    </row>
    <row r="83" spans="2:10" x14ac:dyDescent="0.25">
      <c r="B83" s="2">
        <v>45986</v>
      </c>
      <c r="C83" s="1" t="s">
        <v>119</v>
      </c>
      <c r="D83" s="8">
        <v>2.98</v>
      </c>
      <c r="E83" s="7">
        <v>6.1111111111111114E-3</v>
      </c>
      <c r="F83" s="6">
        <v>1.8229166666666671E-2</v>
      </c>
      <c r="G83" s="4" t="s">
        <v>120</v>
      </c>
      <c r="H83" s="5">
        <f>VALUE(LEFT(RunLog[[#This Row],[Weather]],FIND("°",RunLog[[#This Row],[Weather]])-1))</f>
        <v>79</v>
      </c>
      <c r="I83" s="4" t="str">
        <f>TRIM(MID(RunLog[[#This Row],[Weather]],FIND(" ",RunLog[[#This Row],[Weather]])+1,LEN(RunLog[[#This Row],[Weather]])))</f>
        <v>Drizzle</v>
      </c>
      <c r="J83" s="3">
        <f>DATE(YEAR(RunLog[[#This Row],[Date]]),MONTH(RunLog[[#This Row],[Date]]),1)</f>
        <v>45962</v>
      </c>
    </row>
    <row r="84" spans="2:10" x14ac:dyDescent="0.25">
      <c r="B84" s="2">
        <v>45984</v>
      </c>
      <c r="C84" s="1" t="s">
        <v>121</v>
      </c>
      <c r="D84" s="8">
        <v>2.92</v>
      </c>
      <c r="E84" s="7">
        <v>7.3842592592592597E-3</v>
      </c>
      <c r="F84" s="6">
        <v>2.1574074074074079E-2</v>
      </c>
      <c r="G84" s="4" t="s">
        <v>122</v>
      </c>
      <c r="H84" s="5">
        <f>VALUE(LEFT(RunLog[[#This Row],[Weather]],FIND("°",RunLog[[#This Row],[Weather]])-1))</f>
        <v>75</v>
      </c>
      <c r="I84" s="4" t="str">
        <f>TRIM(MID(RunLog[[#This Row],[Weather]],FIND(" ",RunLog[[#This Row],[Weather]])+1,LEN(RunLog[[#This Row],[Weather]])))</f>
        <v>Clear</v>
      </c>
      <c r="J84" s="3">
        <f>DATE(YEAR(RunLog[[#This Row],[Date]]),MONTH(RunLog[[#This Row],[Date]]),1)</f>
        <v>45962</v>
      </c>
    </row>
    <row r="85" spans="2:10" x14ac:dyDescent="0.25">
      <c r="B85" s="2">
        <v>45981</v>
      </c>
      <c r="C85" s="1" t="s">
        <v>123</v>
      </c>
      <c r="D85" s="8">
        <v>3.56</v>
      </c>
      <c r="E85" s="7">
        <v>6.1805555555555546E-3</v>
      </c>
      <c r="F85" s="6">
        <v>2.2002314814814811E-2</v>
      </c>
      <c r="G85" s="4" t="s">
        <v>124</v>
      </c>
      <c r="H85" s="5">
        <f>VALUE(LEFT(RunLog[[#This Row],[Weather]],FIND("°",RunLog[[#This Row],[Weather]])-1))</f>
        <v>79</v>
      </c>
      <c r="I85" s="4" t="str">
        <f>TRIM(MID(RunLog[[#This Row],[Weather]],FIND(" ",RunLog[[#This Row],[Weather]])+1,LEN(RunLog[[#This Row],[Weather]])))</f>
        <v>Clear</v>
      </c>
      <c r="J85" s="3">
        <f>DATE(YEAR(RunLog[[#This Row],[Date]]),MONTH(RunLog[[#This Row],[Date]]),1)</f>
        <v>45962</v>
      </c>
    </row>
    <row r="86" spans="2:10" x14ac:dyDescent="0.25">
      <c r="B86" s="2">
        <v>45980</v>
      </c>
      <c r="C86" s="1" t="s">
        <v>125</v>
      </c>
      <c r="D86" s="8">
        <v>2.98</v>
      </c>
      <c r="E86" s="7">
        <v>6.8171296296296296E-3</v>
      </c>
      <c r="F86" s="6">
        <v>2.027777777777778E-2</v>
      </c>
      <c r="G86" s="4" t="s">
        <v>50</v>
      </c>
      <c r="H86" s="5">
        <f>VALUE(LEFT(RunLog[[#This Row],[Weather]],FIND("°",RunLog[[#This Row],[Weather]])-1))</f>
        <v>78</v>
      </c>
      <c r="I86" s="4" t="str">
        <f>TRIM(MID(RunLog[[#This Row],[Weather]],FIND(" ",RunLog[[#This Row],[Weather]])+1,LEN(RunLog[[#This Row],[Weather]])))</f>
        <v>Cloudy</v>
      </c>
      <c r="J86" s="3">
        <f>DATE(YEAR(RunLog[[#This Row],[Date]]),MONTH(RunLog[[#This Row],[Date]]),1)</f>
        <v>45962</v>
      </c>
    </row>
    <row r="87" spans="2:10" x14ac:dyDescent="0.25">
      <c r="B87" s="2">
        <v>45978</v>
      </c>
      <c r="C87" s="1" t="s">
        <v>106</v>
      </c>
      <c r="D87" s="8">
        <v>3.01</v>
      </c>
      <c r="E87" s="7">
        <v>6.145833333333333E-3</v>
      </c>
      <c r="F87" s="6">
        <v>1.849537037037037E-2</v>
      </c>
      <c r="G87" s="4" t="s">
        <v>39</v>
      </c>
      <c r="H87" s="5">
        <f>VALUE(LEFT(RunLog[[#This Row],[Weather]],FIND("°",RunLog[[#This Row],[Weather]])-1))</f>
        <v>79</v>
      </c>
      <c r="I87" s="4" t="str">
        <f>TRIM(MID(RunLog[[#This Row],[Weather]],FIND(" ",RunLog[[#This Row],[Weather]])+1,LEN(RunLog[[#This Row],[Weather]])))</f>
        <v>Cloudy</v>
      </c>
      <c r="J87" s="3">
        <f>DATE(YEAR(RunLog[[#This Row],[Date]]),MONTH(RunLog[[#This Row],[Date]]),1)</f>
        <v>45962</v>
      </c>
    </row>
    <row r="88" spans="2:10" x14ac:dyDescent="0.25">
      <c r="B88" s="2">
        <v>45973</v>
      </c>
      <c r="C88" s="1" t="s">
        <v>126</v>
      </c>
      <c r="D88" s="8">
        <v>2.13</v>
      </c>
      <c r="E88" s="7">
        <v>6.7824074074074071E-3</v>
      </c>
      <c r="F88" s="6">
        <v>1.447916666666667E-2</v>
      </c>
      <c r="G88" s="4" t="s">
        <v>127</v>
      </c>
      <c r="H88" s="5">
        <f>VALUE(LEFT(RunLog[[#This Row],[Weather]],FIND("°",RunLog[[#This Row],[Weather]])-1))</f>
        <v>70</v>
      </c>
      <c r="I88" s="4" t="str">
        <f>TRIM(MID(RunLog[[#This Row],[Weather]],FIND(" ",RunLog[[#This Row],[Weather]])+1,LEN(RunLog[[#This Row],[Weather]])))</f>
        <v>Clear</v>
      </c>
      <c r="J88" s="3">
        <f>DATE(YEAR(RunLog[[#This Row],[Date]]),MONTH(RunLog[[#This Row],[Date]]),1)</f>
        <v>45962</v>
      </c>
    </row>
    <row r="89" spans="2:10" x14ac:dyDescent="0.25">
      <c r="B89" s="2">
        <v>45965</v>
      </c>
      <c r="C89" s="1" t="s">
        <v>128</v>
      </c>
      <c r="D89" s="8">
        <v>2.96</v>
      </c>
      <c r="E89" s="7">
        <v>6.0185185185185194E-3</v>
      </c>
      <c r="F89" s="6">
        <v>1.7824074074074079E-2</v>
      </c>
      <c r="G89" s="4" t="s">
        <v>129</v>
      </c>
      <c r="H89" s="5">
        <f>VALUE(LEFT(RunLog[[#This Row],[Weather]],FIND("°",RunLog[[#This Row],[Weather]])-1))</f>
        <v>69</v>
      </c>
      <c r="I89" s="4" t="str">
        <f>TRIM(MID(RunLog[[#This Row],[Weather]],FIND(" ",RunLog[[#This Row],[Weather]])+1,LEN(RunLog[[#This Row],[Weather]])))</f>
        <v>Clear</v>
      </c>
      <c r="J89" s="3">
        <f>DATE(YEAR(RunLog[[#This Row],[Date]]),MONTH(RunLog[[#This Row],[Date]]),1)</f>
        <v>45962</v>
      </c>
    </row>
    <row r="90" spans="2:10" x14ac:dyDescent="0.25">
      <c r="B90" s="2">
        <v>45964</v>
      </c>
      <c r="C90" s="1" t="s">
        <v>130</v>
      </c>
      <c r="D90" s="8">
        <v>2.99</v>
      </c>
      <c r="E90" s="7">
        <v>5.6481481481481478E-3</v>
      </c>
      <c r="F90" s="6">
        <v>1.6886574074074071E-2</v>
      </c>
      <c r="G90" s="4" t="s">
        <v>131</v>
      </c>
      <c r="H90" s="5">
        <f>VALUE(LEFT(RunLog[[#This Row],[Weather]],FIND("°",RunLog[[#This Row],[Weather]])-1))</f>
        <v>65</v>
      </c>
      <c r="I90" s="4" t="str">
        <f>TRIM(MID(RunLog[[#This Row],[Weather]],FIND(" ",RunLog[[#This Row],[Weather]])+1,LEN(RunLog[[#This Row],[Weather]])))</f>
        <v>Clear</v>
      </c>
      <c r="J90" s="3">
        <f>DATE(YEAR(RunLog[[#This Row],[Date]]),MONTH(RunLog[[#This Row],[Date]]),1)</f>
        <v>45962</v>
      </c>
    </row>
    <row r="91" spans="2:10" x14ac:dyDescent="0.25">
      <c r="B91" s="2">
        <v>45960</v>
      </c>
      <c r="C91" s="1" t="s">
        <v>132</v>
      </c>
      <c r="D91" s="8">
        <v>3</v>
      </c>
      <c r="E91" s="7">
        <v>6.2731481481481484E-3</v>
      </c>
      <c r="F91" s="6">
        <v>1.8854166666666668E-2</v>
      </c>
      <c r="G91" s="4" t="s">
        <v>133</v>
      </c>
      <c r="H91" s="5">
        <f>VALUE(LEFT(RunLog[[#This Row],[Weather]],FIND("°",RunLog[[#This Row],[Weather]])-1))</f>
        <v>59</v>
      </c>
      <c r="I91" s="4" t="str">
        <f>TRIM(MID(RunLog[[#This Row],[Weather]],FIND(" ",RunLog[[#This Row],[Weather]])+1,LEN(RunLog[[#This Row],[Weather]])))</f>
        <v>Clear</v>
      </c>
      <c r="J91" s="3">
        <f>DATE(YEAR(RunLog[[#This Row],[Date]]),MONTH(RunLog[[#This Row],[Date]]),1)</f>
        <v>45931</v>
      </c>
    </row>
    <row r="92" spans="2:10" x14ac:dyDescent="0.25">
      <c r="B92" s="2">
        <v>45959</v>
      </c>
      <c r="C92" s="1" t="s">
        <v>134</v>
      </c>
      <c r="D92" s="8">
        <v>2.98</v>
      </c>
      <c r="E92" s="7">
        <v>6.4814814814814813E-3</v>
      </c>
      <c r="F92" s="6">
        <v>1.9340277777777779E-2</v>
      </c>
      <c r="G92" s="4" t="s">
        <v>135</v>
      </c>
      <c r="H92" s="5">
        <f>VALUE(LEFT(RunLog[[#This Row],[Weather]],FIND("°",RunLog[[#This Row],[Weather]])-1))</f>
        <v>61</v>
      </c>
      <c r="I92" s="4" t="str">
        <f>TRIM(MID(RunLog[[#This Row],[Weather]],FIND(" ",RunLog[[#This Row],[Weather]])+1,LEN(RunLog[[#This Row],[Weather]])))</f>
        <v>Partly cloudy</v>
      </c>
      <c r="J92" s="3">
        <f>DATE(YEAR(RunLog[[#This Row],[Date]]),MONTH(RunLog[[#This Row],[Date]]),1)</f>
        <v>45931</v>
      </c>
    </row>
    <row r="93" spans="2:10" x14ac:dyDescent="0.25">
      <c r="B93" s="2">
        <v>45957</v>
      </c>
      <c r="C93" s="1" t="s">
        <v>136</v>
      </c>
      <c r="D93" s="8">
        <v>3.01</v>
      </c>
      <c r="E93" s="7">
        <v>5.9027777777777776E-3</v>
      </c>
      <c r="F93" s="6">
        <v>1.7777777777777781E-2</v>
      </c>
      <c r="G93" s="4" t="s">
        <v>137</v>
      </c>
      <c r="H93" s="5">
        <f>VALUE(LEFT(RunLog[[#This Row],[Weather]],FIND("°",RunLog[[#This Row],[Weather]])-1))</f>
        <v>74</v>
      </c>
      <c r="I93" s="4" t="str">
        <f>TRIM(MID(RunLog[[#This Row],[Weather]],FIND(" ",RunLog[[#This Row],[Weather]])+1,LEN(RunLog[[#This Row],[Weather]])))</f>
        <v>Clear</v>
      </c>
      <c r="J93" s="3">
        <f>DATE(YEAR(RunLog[[#This Row],[Date]]),MONTH(RunLog[[#This Row],[Date]]),1)</f>
        <v>45931</v>
      </c>
    </row>
    <row r="94" spans="2:10" x14ac:dyDescent="0.25">
      <c r="B94" s="2">
        <v>45953</v>
      </c>
      <c r="C94" s="1" t="s">
        <v>125</v>
      </c>
      <c r="D94" s="8">
        <v>2.97</v>
      </c>
      <c r="E94" s="7">
        <v>5.8912037037037041E-3</v>
      </c>
      <c r="F94" s="6">
        <v>1.7476851851851851E-2</v>
      </c>
      <c r="G94" s="4" t="s">
        <v>59</v>
      </c>
      <c r="H94" s="5">
        <f>VALUE(LEFT(RunLog[[#This Row],[Weather]],FIND("°",RunLog[[#This Row],[Weather]])-1))</f>
        <v>77</v>
      </c>
      <c r="I94" s="4" t="str">
        <f>TRIM(MID(RunLog[[#This Row],[Weather]],FIND(" ",RunLog[[#This Row],[Weather]])+1,LEN(RunLog[[#This Row],[Weather]])))</f>
        <v>Partly cloudy</v>
      </c>
      <c r="J94" s="3">
        <f>DATE(YEAR(RunLog[[#This Row],[Date]]),MONTH(RunLog[[#This Row],[Date]]),1)</f>
        <v>45931</v>
      </c>
    </row>
    <row r="95" spans="2:10" x14ac:dyDescent="0.25">
      <c r="B95" s="2">
        <v>45952</v>
      </c>
      <c r="C95" s="1" t="s">
        <v>138</v>
      </c>
      <c r="D95" s="8">
        <v>4.63</v>
      </c>
      <c r="E95" s="7">
        <v>6.7013888888888887E-3</v>
      </c>
      <c r="F95" s="6">
        <v>3.1018518518518522E-2</v>
      </c>
      <c r="G95" s="4" t="s">
        <v>90</v>
      </c>
      <c r="H95" s="5">
        <f>VALUE(LEFT(RunLog[[#This Row],[Weather]],FIND("°",RunLog[[#This Row],[Weather]])-1))</f>
        <v>76</v>
      </c>
      <c r="I95" s="4" t="str">
        <f>TRIM(MID(RunLog[[#This Row],[Weather]],FIND(" ",RunLog[[#This Row],[Weather]])+1,LEN(RunLog[[#This Row],[Weather]])))</f>
        <v>Clear</v>
      </c>
      <c r="J95" s="3">
        <f>DATE(YEAR(RunLog[[#This Row],[Date]]),MONTH(RunLog[[#This Row],[Date]]),1)</f>
        <v>45931</v>
      </c>
    </row>
    <row r="96" spans="2:10" x14ac:dyDescent="0.25">
      <c r="B96" s="2">
        <v>45950</v>
      </c>
      <c r="C96" s="1" t="s">
        <v>139</v>
      </c>
      <c r="D96" s="8">
        <v>2.97</v>
      </c>
      <c r="E96" s="7">
        <v>6.145833333333333E-3</v>
      </c>
      <c r="F96" s="6">
        <v>1.8217592592592591E-2</v>
      </c>
      <c r="G96" s="4" t="s">
        <v>122</v>
      </c>
      <c r="H96" s="5">
        <f>VALUE(LEFT(RunLog[[#This Row],[Weather]],FIND("°",RunLog[[#This Row],[Weather]])-1))</f>
        <v>75</v>
      </c>
      <c r="I96" s="4" t="str">
        <f>TRIM(MID(RunLog[[#This Row],[Weather]],FIND(" ",RunLog[[#This Row],[Weather]])+1,LEN(RunLog[[#This Row],[Weather]])))</f>
        <v>Clear</v>
      </c>
      <c r="J96" s="3">
        <f>DATE(YEAR(RunLog[[#This Row],[Date]]),MONTH(RunLog[[#This Row],[Date]]),1)</f>
        <v>45931</v>
      </c>
    </row>
    <row r="97" spans="2:10" x14ac:dyDescent="0.25">
      <c r="B97" s="2">
        <v>45947</v>
      </c>
      <c r="C97" s="1" t="s">
        <v>140</v>
      </c>
      <c r="D97" s="8">
        <v>4.8099999999999996</v>
      </c>
      <c r="E97" s="7">
        <v>7.6736111111111111E-3</v>
      </c>
      <c r="F97" s="6">
        <v>3.6886574074074072E-2</v>
      </c>
      <c r="G97" s="4" t="s">
        <v>57</v>
      </c>
      <c r="H97" s="5">
        <f>VALUE(LEFT(RunLog[[#This Row],[Weather]],FIND("°",RunLog[[#This Row],[Weather]])-1))</f>
        <v>82</v>
      </c>
      <c r="I97" s="4" t="str">
        <f>TRIM(MID(RunLog[[#This Row],[Weather]],FIND(" ",RunLog[[#This Row],[Weather]])+1,LEN(RunLog[[#This Row],[Weather]])))</f>
        <v>Clear</v>
      </c>
      <c r="J97" s="3">
        <f>DATE(YEAR(RunLog[[#This Row],[Date]]),MONTH(RunLog[[#This Row],[Date]]),1)</f>
        <v>45931</v>
      </c>
    </row>
    <row r="98" spans="2:10" x14ac:dyDescent="0.25">
      <c r="B98" s="2">
        <v>45945</v>
      </c>
      <c r="C98" s="1" t="s">
        <v>141</v>
      </c>
      <c r="D98" s="8">
        <v>4.66</v>
      </c>
      <c r="E98" s="7">
        <v>7.766203703703704E-3</v>
      </c>
      <c r="F98" s="6">
        <v>3.6168981481481483E-2</v>
      </c>
      <c r="G98" s="4" t="s">
        <v>32</v>
      </c>
      <c r="H98" s="5">
        <f>VALUE(LEFT(RunLog[[#This Row],[Weather]],FIND("°",RunLog[[#This Row],[Weather]])-1))</f>
        <v>84</v>
      </c>
      <c r="I98" s="4" t="str">
        <f>TRIM(MID(RunLog[[#This Row],[Weather]],FIND(" ",RunLog[[#This Row],[Weather]])+1,LEN(RunLog[[#This Row],[Weather]])))</f>
        <v>Clear</v>
      </c>
      <c r="J98" s="3">
        <f>DATE(YEAR(RunLog[[#This Row],[Date]]),MONTH(RunLog[[#This Row],[Date]]),1)</f>
        <v>45931</v>
      </c>
    </row>
    <row r="99" spans="2:10" x14ac:dyDescent="0.25">
      <c r="B99" s="2">
        <v>45944</v>
      </c>
      <c r="C99" s="1" t="s">
        <v>79</v>
      </c>
      <c r="D99" s="8">
        <v>4.54</v>
      </c>
      <c r="E99" s="7">
        <v>6.5740740740740742E-3</v>
      </c>
      <c r="F99" s="6">
        <v>2.9814814814814811E-2</v>
      </c>
      <c r="G99" s="4" t="s">
        <v>142</v>
      </c>
      <c r="H99" s="5">
        <f>VALUE(LEFT(RunLog[[#This Row],[Weather]],FIND("°",RunLog[[#This Row],[Weather]])-1))</f>
        <v>83</v>
      </c>
      <c r="I99" s="4" t="str">
        <f>TRIM(MID(RunLog[[#This Row],[Weather]],FIND(" ",RunLog[[#This Row],[Weather]])+1,LEN(RunLog[[#This Row],[Weather]])))</f>
        <v>Clear</v>
      </c>
      <c r="J99" s="3">
        <f>DATE(YEAR(RunLog[[#This Row],[Date]]),MONTH(RunLog[[#This Row],[Date]]),1)</f>
        <v>45931</v>
      </c>
    </row>
    <row r="100" spans="2:10" x14ac:dyDescent="0.25">
      <c r="B100" s="2">
        <v>45943</v>
      </c>
      <c r="C100" s="1" t="s">
        <v>64</v>
      </c>
      <c r="D100" s="8">
        <v>2.89</v>
      </c>
      <c r="E100" s="7">
        <v>6.7361111111111111E-3</v>
      </c>
      <c r="F100" s="6">
        <v>1.9456018518518518E-2</v>
      </c>
      <c r="G100" s="4" t="s">
        <v>46</v>
      </c>
      <c r="H100" s="5">
        <f>VALUE(LEFT(RunLog[[#This Row],[Weather]],FIND("°",RunLog[[#This Row],[Weather]])-1))</f>
        <v>81</v>
      </c>
      <c r="I100" s="4" t="str">
        <f>TRIM(MID(RunLog[[#This Row],[Weather]],FIND(" ",RunLog[[#This Row],[Weather]])+1,LEN(RunLog[[#This Row],[Weather]])))</f>
        <v>Clear</v>
      </c>
      <c r="J100" s="3">
        <f>DATE(YEAR(RunLog[[#This Row],[Date]]),MONTH(RunLog[[#This Row],[Date]]),1)</f>
        <v>45931</v>
      </c>
    </row>
    <row r="101" spans="2:10" x14ac:dyDescent="0.25">
      <c r="B101" s="2">
        <v>45923</v>
      </c>
      <c r="C101" s="1" t="s">
        <v>143</v>
      </c>
      <c r="D101" s="8">
        <v>2.94</v>
      </c>
      <c r="E101" s="7">
        <v>7.060185185185185E-3</v>
      </c>
      <c r="F101" s="6">
        <v>2.072916666666667E-2</v>
      </c>
      <c r="G101" s="4" t="s">
        <v>144</v>
      </c>
      <c r="H101" s="5">
        <f>VALUE(LEFT(RunLog[[#This Row],[Weather]],FIND("°",RunLog[[#This Row],[Weather]])-1))</f>
        <v>82</v>
      </c>
      <c r="I101" s="4" t="str">
        <f>TRIM(MID(RunLog[[#This Row],[Weather]],FIND(" ",RunLog[[#This Row],[Weather]])+1,LEN(RunLog[[#This Row],[Weather]])))</f>
        <v>Drizzle</v>
      </c>
      <c r="J101" s="3">
        <f>DATE(YEAR(RunLog[[#This Row],[Date]]),MONTH(RunLog[[#This Row],[Date]]),1)</f>
        <v>45901</v>
      </c>
    </row>
    <row r="102" spans="2:10" x14ac:dyDescent="0.25">
      <c r="B102" s="2">
        <v>45918</v>
      </c>
      <c r="C102" s="1" t="s">
        <v>145</v>
      </c>
      <c r="D102" s="8">
        <v>2.82</v>
      </c>
      <c r="E102" s="7">
        <v>6.3888888888888893E-3</v>
      </c>
      <c r="F102" s="6">
        <v>1.7997685185185189E-2</v>
      </c>
      <c r="G102" s="4" t="s">
        <v>146</v>
      </c>
      <c r="H102" s="5">
        <f>VALUE(LEFT(RunLog[[#This Row],[Weather]],FIND("°",RunLog[[#This Row],[Weather]])-1))</f>
        <v>86</v>
      </c>
      <c r="I102" s="4" t="str">
        <f>TRIM(MID(RunLog[[#This Row],[Weather]],FIND(" ",RunLog[[#This Row],[Weather]])+1,LEN(RunLog[[#This Row],[Weather]])))</f>
        <v>Clear</v>
      </c>
      <c r="J102" s="3">
        <f>DATE(YEAR(RunLog[[#This Row],[Date]]),MONTH(RunLog[[#This Row],[Date]]),1)</f>
        <v>45901</v>
      </c>
    </row>
    <row r="103" spans="2:10" x14ac:dyDescent="0.25">
      <c r="B103" s="2">
        <v>45917</v>
      </c>
      <c r="C103" s="1" t="s">
        <v>145</v>
      </c>
      <c r="D103" s="8">
        <v>2.97</v>
      </c>
      <c r="E103" s="7">
        <v>6.4930555555555557E-3</v>
      </c>
      <c r="F103" s="6">
        <v>1.9293981481481481E-2</v>
      </c>
      <c r="G103" s="4" t="s">
        <v>147</v>
      </c>
      <c r="H103" s="5">
        <f>VALUE(LEFT(RunLog[[#This Row],[Weather]],FIND("°",RunLog[[#This Row],[Weather]])-1))</f>
        <v>85</v>
      </c>
      <c r="I103" s="4" t="str">
        <f>TRIM(MID(RunLog[[#This Row],[Weather]],FIND(" ",RunLog[[#This Row],[Weather]])+1,LEN(RunLog[[#This Row],[Weather]])))</f>
        <v>Clear</v>
      </c>
      <c r="J103" s="3">
        <f>DATE(YEAR(RunLog[[#This Row],[Date]]),MONTH(RunLog[[#This Row],[Date]]),1)</f>
        <v>45901</v>
      </c>
    </row>
    <row r="104" spans="2:10" x14ac:dyDescent="0.25">
      <c r="B104" s="2">
        <v>45911</v>
      </c>
      <c r="C104" s="1" t="s">
        <v>148</v>
      </c>
      <c r="D104" s="8">
        <v>2.82</v>
      </c>
      <c r="E104" s="7">
        <v>6.2615740740740739E-3</v>
      </c>
      <c r="F104" s="6">
        <v>1.7638888888888891E-2</v>
      </c>
      <c r="G104" s="4" t="s">
        <v>146</v>
      </c>
      <c r="H104" s="5">
        <f>VALUE(LEFT(RunLog[[#This Row],[Weather]],FIND("°",RunLog[[#This Row],[Weather]])-1))</f>
        <v>86</v>
      </c>
      <c r="I104" s="4" t="str">
        <f>TRIM(MID(RunLog[[#This Row],[Weather]],FIND(" ",RunLog[[#This Row],[Weather]])+1,LEN(RunLog[[#This Row],[Weather]])))</f>
        <v>Clear</v>
      </c>
      <c r="J104" s="3">
        <f>DATE(YEAR(RunLog[[#This Row],[Date]]),MONTH(RunLog[[#This Row],[Date]]),1)</f>
        <v>45901</v>
      </c>
    </row>
    <row r="105" spans="2:10" x14ac:dyDescent="0.25">
      <c r="B105" s="2">
        <v>45910</v>
      </c>
      <c r="C105" s="1" t="s">
        <v>43</v>
      </c>
      <c r="D105" s="8">
        <v>2.87</v>
      </c>
      <c r="E105" s="7">
        <v>6.9560185185185176E-3</v>
      </c>
      <c r="F105" s="6">
        <v>1.998842592592593E-2</v>
      </c>
      <c r="G105" s="4" t="s">
        <v>149</v>
      </c>
      <c r="H105" s="5">
        <f>VALUE(LEFT(RunLog[[#This Row],[Weather]],FIND("°",RunLog[[#This Row],[Weather]])-1))</f>
        <v>82</v>
      </c>
      <c r="I105" s="4" t="str">
        <f>TRIM(MID(RunLog[[#This Row],[Weather]],FIND(" ",RunLog[[#This Row],[Weather]])+1,LEN(RunLog[[#This Row],[Weather]])))</f>
        <v>Partly cloudy</v>
      </c>
      <c r="J105" s="3">
        <f>DATE(YEAR(RunLog[[#This Row],[Date]]),MONTH(RunLog[[#This Row],[Date]]),1)</f>
        <v>45901</v>
      </c>
    </row>
    <row r="106" spans="2:10" x14ac:dyDescent="0.25">
      <c r="B106" s="2">
        <v>45909</v>
      </c>
      <c r="C106" s="1" t="s">
        <v>58</v>
      </c>
      <c r="D106" s="8">
        <v>3.02</v>
      </c>
      <c r="E106" s="7">
        <v>6.1689814814814819E-3</v>
      </c>
      <c r="F106" s="6">
        <v>1.863425925925926E-2</v>
      </c>
      <c r="G106" s="4" t="s">
        <v>150</v>
      </c>
      <c r="H106" s="5">
        <f>VALUE(LEFT(RunLog[[#This Row],[Weather]],FIND("°",RunLog[[#This Row],[Weather]])-1))</f>
        <v>81</v>
      </c>
      <c r="I106" s="4" t="str">
        <f>TRIM(MID(RunLog[[#This Row],[Weather]],FIND(" ",RunLog[[#This Row],[Weather]])+1,LEN(RunLog[[#This Row],[Weather]])))</f>
        <v>Partly cloudy</v>
      </c>
      <c r="J106" s="3">
        <f>DATE(YEAR(RunLog[[#This Row],[Date]]),MONTH(RunLog[[#This Row],[Date]]),1)</f>
        <v>45901</v>
      </c>
    </row>
    <row r="107" spans="2:10" x14ac:dyDescent="0.25">
      <c r="B107" s="2">
        <v>45901</v>
      </c>
      <c r="C107" s="1" t="s">
        <v>151</v>
      </c>
      <c r="D107" s="8">
        <v>3</v>
      </c>
      <c r="E107" s="7">
        <v>5.9837962962962961E-3</v>
      </c>
      <c r="F107" s="6">
        <v>1.7986111111111109E-2</v>
      </c>
      <c r="G107" s="4" t="s">
        <v>54</v>
      </c>
      <c r="H107" s="5">
        <f>VALUE(LEFT(RunLog[[#This Row],[Weather]],FIND("°",RunLog[[#This Row],[Weather]])-1))</f>
        <v>84</v>
      </c>
      <c r="I107" s="4" t="str">
        <f>TRIM(MID(RunLog[[#This Row],[Weather]],FIND(" ",RunLog[[#This Row],[Weather]])+1,LEN(RunLog[[#This Row],[Weather]])))</f>
        <v>Cloudy</v>
      </c>
      <c r="J107" s="3">
        <f>DATE(YEAR(RunLog[[#This Row],[Date]]),MONTH(RunLog[[#This Row],[Date]]),1)</f>
        <v>45901</v>
      </c>
    </row>
    <row r="108" spans="2:10" x14ac:dyDescent="0.25">
      <c r="B108" s="2">
        <v>45898</v>
      </c>
      <c r="C108" s="1" t="s">
        <v>152</v>
      </c>
      <c r="D108" s="8">
        <v>3.05</v>
      </c>
      <c r="E108" s="7">
        <v>6.0185185185185194E-3</v>
      </c>
      <c r="F108" s="6">
        <v>1.833333333333333E-2</v>
      </c>
      <c r="G108" s="4" t="s">
        <v>87</v>
      </c>
      <c r="H108" s="5">
        <f>VALUE(LEFT(RunLog[[#This Row],[Weather]],FIND("°",RunLog[[#This Row],[Weather]])-1))</f>
        <v>77</v>
      </c>
      <c r="I108" s="4" t="str">
        <f>TRIM(MID(RunLog[[#This Row],[Weather]],FIND(" ",RunLog[[#This Row],[Weather]])+1,LEN(RunLog[[#This Row],[Weather]])))</f>
        <v>Drizzle</v>
      </c>
      <c r="J108" s="3">
        <f>DATE(YEAR(RunLog[[#This Row],[Date]]),MONTH(RunLog[[#This Row],[Date]]),1)</f>
        <v>45870</v>
      </c>
    </row>
    <row r="109" spans="2:10" x14ac:dyDescent="0.25">
      <c r="B109" s="2">
        <v>45897</v>
      </c>
      <c r="C109" s="1" t="s">
        <v>83</v>
      </c>
      <c r="D109" s="8">
        <v>3</v>
      </c>
      <c r="E109" s="7">
        <v>5.9953703703703714E-3</v>
      </c>
      <c r="F109" s="6">
        <v>1.7974537037037039E-2</v>
      </c>
      <c r="G109" s="4" t="s">
        <v>153</v>
      </c>
      <c r="H109" s="5">
        <f>VALUE(LEFT(RunLog[[#This Row],[Weather]],FIND("°",RunLog[[#This Row],[Weather]])-1))</f>
        <v>85</v>
      </c>
      <c r="I109" s="4" t="str">
        <f>TRIM(MID(RunLog[[#This Row],[Weather]],FIND(" ",RunLog[[#This Row],[Weather]])+1,LEN(RunLog[[#This Row],[Weather]])))</f>
        <v>Partly cloudy</v>
      </c>
      <c r="J109" s="3">
        <f>DATE(YEAR(RunLog[[#This Row],[Date]]),MONTH(RunLog[[#This Row],[Date]]),1)</f>
        <v>45870</v>
      </c>
    </row>
    <row r="110" spans="2:10" x14ac:dyDescent="0.25">
      <c r="B110" s="2">
        <v>45896</v>
      </c>
      <c r="C110" s="1" t="s">
        <v>40</v>
      </c>
      <c r="D110" s="8">
        <v>3.02</v>
      </c>
      <c r="E110" s="7">
        <v>6.3194444444444444E-3</v>
      </c>
      <c r="F110" s="6">
        <v>1.909722222222222E-2</v>
      </c>
      <c r="G110" s="4" t="s">
        <v>154</v>
      </c>
      <c r="H110" s="5">
        <f>VALUE(LEFT(RunLog[[#This Row],[Weather]],FIND("°",RunLog[[#This Row],[Weather]])-1))</f>
        <v>84</v>
      </c>
      <c r="I110" s="4" t="str">
        <f>TRIM(MID(RunLog[[#This Row],[Weather]],FIND(" ",RunLog[[#This Row],[Weather]])+1,LEN(RunLog[[#This Row],[Weather]])))</f>
        <v>Partly cloudy</v>
      </c>
      <c r="J110" s="3">
        <f>DATE(YEAR(RunLog[[#This Row],[Date]]),MONTH(RunLog[[#This Row],[Date]]),1)</f>
        <v>45870</v>
      </c>
    </row>
    <row r="111" spans="2:10" x14ac:dyDescent="0.25">
      <c r="B111" s="2">
        <v>45894</v>
      </c>
      <c r="C111" s="1" t="s">
        <v>49</v>
      </c>
      <c r="D111" s="8">
        <v>2.96</v>
      </c>
      <c r="E111" s="7">
        <v>5.7986111111111112E-3</v>
      </c>
      <c r="F111" s="6">
        <v>1.7199074074074071E-2</v>
      </c>
      <c r="G111" s="4" t="s">
        <v>19</v>
      </c>
      <c r="H111" s="5">
        <f>VALUE(LEFT(RunLog[[#This Row],[Weather]],FIND("°",RunLog[[#This Row],[Weather]])-1))</f>
        <v>87</v>
      </c>
      <c r="I111" s="4" t="str">
        <f>TRIM(MID(RunLog[[#This Row],[Weather]],FIND(" ",RunLog[[#This Row],[Weather]])+1,LEN(RunLog[[#This Row],[Weather]])))</f>
        <v>Clear</v>
      </c>
      <c r="J111" s="3">
        <f>DATE(YEAR(RunLog[[#This Row],[Date]]),MONTH(RunLog[[#This Row],[Date]]),1)</f>
        <v>45870</v>
      </c>
    </row>
    <row r="112" spans="2:10" x14ac:dyDescent="0.25">
      <c r="B112" s="2">
        <v>45893</v>
      </c>
      <c r="C112" s="1" t="s">
        <v>93</v>
      </c>
      <c r="D112" s="8">
        <v>2.99</v>
      </c>
      <c r="E112" s="7">
        <v>5.5092592592592589E-3</v>
      </c>
      <c r="F112" s="6">
        <v>1.6435185185185181E-2</v>
      </c>
      <c r="G112" s="4" t="s">
        <v>155</v>
      </c>
      <c r="H112" s="5">
        <f>VALUE(LEFT(RunLog[[#This Row],[Weather]],FIND("°",RunLog[[#This Row],[Weather]])-1))</f>
        <v>91</v>
      </c>
      <c r="I112" s="4" t="str">
        <f>TRIM(MID(RunLog[[#This Row],[Weather]],FIND(" ",RunLog[[#This Row],[Weather]])+1,LEN(RunLog[[#This Row],[Weather]])))</f>
        <v>Clear</v>
      </c>
      <c r="J112" s="3">
        <f>DATE(YEAR(RunLog[[#This Row],[Date]]),MONTH(RunLog[[#This Row],[Date]]),1)</f>
        <v>45870</v>
      </c>
    </row>
  </sheetData>
  <mergeCells count="19">
    <mergeCell ref="B1:J1"/>
    <mergeCell ref="B2:D2"/>
    <mergeCell ref="B3:C3"/>
    <mergeCell ref="B4:C4"/>
    <mergeCell ref="B5:C5"/>
    <mergeCell ref="H2:J2"/>
    <mergeCell ref="H3:I3"/>
    <mergeCell ref="H4:I4"/>
    <mergeCell ref="H5:I5"/>
    <mergeCell ref="H6:I6"/>
    <mergeCell ref="H7:I7"/>
    <mergeCell ref="B7:C7"/>
    <mergeCell ref="E2:G2"/>
    <mergeCell ref="E3:F3"/>
    <mergeCell ref="E4:F4"/>
    <mergeCell ref="E5:F5"/>
    <mergeCell ref="E6:F6"/>
    <mergeCell ref="E7:F7"/>
    <mergeCell ref="B6:C6"/>
  </mergeCells>
  <phoneticPr fontId="1" type="noConversion"/>
  <dataValidations disablePrompts="1" count="1">
    <dataValidation type="list" allowBlank="1" showInputMessage="1" showErrorMessage="1" sqref="G3" xr:uid="{90C2263A-82F7-4198-8864-E1F0100084FA}">
      <formula1>"Clear,Cloudy,Drizzle,Partly cloudy,Rain"</formula1>
    </dataValidation>
  </dataValidations>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9DAC8-677C-49AB-8DC3-54F3362122B6}">
  <dimension ref="B1:K17"/>
  <sheetViews>
    <sheetView showGridLines="0" workbookViewId="0"/>
  </sheetViews>
  <sheetFormatPr defaultRowHeight="15" x14ac:dyDescent="0.25"/>
  <cols>
    <col min="1" max="1" width="3.7109375" customWidth="1"/>
    <col min="2" max="2" width="11.28515625" bestFit="1" customWidth="1"/>
    <col min="3" max="3" width="10.140625" bestFit="1" customWidth="1"/>
    <col min="4" max="4" width="17.85546875" bestFit="1" customWidth="1"/>
    <col min="5" max="5" width="21.7109375" bestFit="1" customWidth="1"/>
    <col min="6" max="6" width="8.7109375" customWidth="1"/>
    <col min="7" max="7" width="9.28515625" bestFit="1" customWidth="1"/>
    <col min="8" max="8" width="21.7109375" customWidth="1"/>
    <col min="9" max="9" width="8.7109375" customWidth="1"/>
    <col min="10" max="10" width="9.28515625" bestFit="1" customWidth="1"/>
    <col min="11" max="11" width="17.85546875" bestFit="1" customWidth="1"/>
    <col min="12" max="13" width="9.28515625" bestFit="1" customWidth="1"/>
  </cols>
  <sheetData>
    <row r="1" spans="2:11" ht="30" customHeight="1" x14ac:dyDescent="0.25">
      <c r="B1" s="28" t="s">
        <v>176</v>
      </c>
      <c r="C1" s="28"/>
      <c r="D1" s="28"/>
      <c r="E1" s="28"/>
      <c r="F1" s="28"/>
      <c r="G1" s="28"/>
      <c r="H1" s="28"/>
      <c r="I1" s="28"/>
      <c r="J1" s="28"/>
      <c r="K1" s="28"/>
    </row>
    <row r="2" spans="2:11" ht="15" customHeight="1" x14ac:dyDescent="0.25"/>
    <row r="3" spans="2:11" ht="15.75" x14ac:dyDescent="0.25">
      <c r="B3" s="27" t="s">
        <v>178</v>
      </c>
      <c r="C3" s="27"/>
      <c r="D3" s="27"/>
      <c r="E3" s="27"/>
      <c r="G3" s="27" t="s">
        <v>179</v>
      </c>
      <c r="H3" s="27"/>
      <c r="J3" s="27" t="s">
        <v>180</v>
      </c>
      <c r="K3" s="27"/>
    </row>
    <row r="4" spans="2:11" x14ac:dyDescent="0.25">
      <c r="B4" s="20" t="s">
        <v>161</v>
      </c>
      <c r="C4" s="22" t="s">
        <v>168</v>
      </c>
      <c r="D4" s="22" t="s">
        <v>167</v>
      </c>
      <c r="E4" s="22" t="s">
        <v>164</v>
      </c>
      <c r="G4" s="20" t="s">
        <v>161</v>
      </c>
      <c r="H4" s="22" t="s">
        <v>164</v>
      </c>
      <c r="J4" s="20" t="s">
        <v>161</v>
      </c>
      <c r="K4" s="22" t="s">
        <v>167</v>
      </c>
    </row>
    <row r="5" spans="2:11" x14ac:dyDescent="0.25">
      <c r="B5" s="21">
        <v>45870</v>
      </c>
      <c r="C5" s="23">
        <v>5</v>
      </c>
      <c r="D5" s="24">
        <v>15.020000000000001</v>
      </c>
      <c r="E5" s="25">
        <v>5.9282407407407409E-3</v>
      </c>
      <c r="G5" s="21">
        <v>45870</v>
      </c>
      <c r="H5" s="25">
        <v>5.9282407407407409E-3</v>
      </c>
      <c r="J5" s="21">
        <v>45870</v>
      </c>
      <c r="K5" s="24">
        <v>15.020000000000001</v>
      </c>
    </row>
    <row r="6" spans="2:11" x14ac:dyDescent="0.25">
      <c r="B6" s="16">
        <v>45901</v>
      </c>
      <c r="C6" s="19">
        <v>7</v>
      </c>
      <c r="D6" s="17">
        <v>20.440000000000001</v>
      </c>
      <c r="E6" s="18">
        <v>6.4732142857142861E-3</v>
      </c>
      <c r="G6" s="16">
        <v>45901</v>
      </c>
      <c r="H6" s="18">
        <v>6.4732142857142861E-3</v>
      </c>
      <c r="J6" s="16">
        <v>45901</v>
      </c>
      <c r="K6" s="17">
        <v>20.440000000000001</v>
      </c>
    </row>
    <row r="7" spans="2:11" x14ac:dyDescent="0.25">
      <c r="B7" s="16">
        <v>45931</v>
      </c>
      <c r="C7" s="19">
        <v>10</v>
      </c>
      <c r="D7" s="17">
        <v>36.46</v>
      </c>
      <c r="E7" s="18">
        <v>6.6145833333333334E-3</v>
      </c>
      <c r="G7" s="16">
        <v>45931</v>
      </c>
      <c r="H7" s="18">
        <v>6.6145833333333334E-3</v>
      </c>
      <c r="J7" s="16">
        <v>45931</v>
      </c>
      <c r="K7" s="17">
        <v>36.46</v>
      </c>
    </row>
    <row r="8" spans="2:11" x14ac:dyDescent="0.25">
      <c r="B8" s="16">
        <v>45962</v>
      </c>
      <c r="C8" s="19">
        <v>10</v>
      </c>
      <c r="D8" s="17">
        <v>31.159999999999997</v>
      </c>
      <c r="E8" s="18">
        <v>6.3576388888888892E-3</v>
      </c>
      <c r="G8" s="16">
        <v>45962</v>
      </c>
      <c r="H8" s="18">
        <v>6.3576388888888892E-3</v>
      </c>
      <c r="J8" s="16">
        <v>45962</v>
      </c>
      <c r="K8" s="17">
        <v>31.159999999999997</v>
      </c>
    </row>
    <row r="9" spans="2:11" x14ac:dyDescent="0.25">
      <c r="B9" s="16">
        <v>45992</v>
      </c>
      <c r="C9" s="19">
        <v>5</v>
      </c>
      <c r="D9" s="17">
        <v>16.490000000000002</v>
      </c>
      <c r="E9" s="18">
        <v>6.1550925925925922E-3</v>
      </c>
      <c r="G9" s="16">
        <v>45992</v>
      </c>
      <c r="H9" s="18">
        <v>6.1550925925925922E-3</v>
      </c>
      <c r="J9" s="16">
        <v>45992</v>
      </c>
      <c r="K9" s="17">
        <v>16.490000000000002</v>
      </c>
    </row>
    <row r="10" spans="2:11" x14ac:dyDescent="0.25">
      <c r="B10" s="16">
        <v>46023</v>
      </c>
      <c r="C10" s="19">
        <v>7</v>
      </c>
      <c r="D10" s="17">
        <v>29.099999999999998</v>
      </c>
      <c r="E10" s="18">
        <v>6.332671957671958E-3</v>
      </c>
      <c r="G10" s="16">
        <v>46023</v>
      </c>
      <c r="H10" s="18">
        <v>6.332671957671958E-3</v>
      </c>
      <c r="J10" s="16">
        <v>46023</v>
      </c>
      <c r="K10" s="17">
        <v>29.099999999999998</v>
      </c>
    </row>
    <row r="11" spans="2:11" x14ac:dyDescent="0.25">
      <c r="B11" s="16">
        <v>46054</v>
      </c>
      <c r="C11" s="19">
        <v>4</v>
      </c>
      <c r="D11" s="17">
        <v>17.350000000000001</v>
      </c>
      <c r="E11" s="18">
        <v>6.8229166666666664E-3</v>
      </c>
      <c r="G11" s="16">
        <v>46054</v>
      </c>
      <c r="H11" s="18">
        <v>6.8229166666666664E-3</v>
      </c>
      <c r="J11" s="16">
        <v>46054</v>
      </c>
      <c r="K11" s="17">
        <v>17.350000000000001</v>
      </c>
    </row>
    <row r="12" spans="2:11" x14ac:dyDescent="0.25">
      <c r="B12" s="16">
        <v>46082</v>
      </c>
      <c r="C12" s="19">
        <v>13</v>
      </c>
      <c r="D12" s="17">
        <v>51.749999999999993</v>
      </c>
      <c r="E12" s="18">
        <v>6.1885683760683763E-3</v>
      </c>
      <c r="G12" s="16">
        <v>46082</v>
      </c>
      <c r="H12" s="18">
        <v>6.1885683760683763E-3</v>
      </c>
      <c r="J12" s="16">
        <v>46082</v>
      </c>
      <c r="K12" s="17">
        <v>51.749999999999993</v>
      </c>
    </row>
    <row r="13" spans="2:11" x14ac:dyDescent="0.25">
      <c r="B13" s="16">
        <v>46113</v>
      </c>
      <c r="C13" s="19">
        <v>13</v>
      </c>
      <c r="D13" s="17">
        <v>49.42</v>
      </c>
      <c r="E13" s="18">
        <v>6.5117521367521365E-3</v>
      </c>
      <c r="G13" s="16">
        <v>46113</v>
      </c>
      <c r="H13" s="18">
        <v>6.5117521367521365E-3</v>
      </c>
      <c r="J13" s="16">
        <v>46113</v>
      </c>
      <c r="K13" s="17">
        <v>49.42</v>
      </c>
    </row>
    <row r="14" spans="2:11" x14ac:dyDescent="0.25">
      <c r="B14" s="16">
        <v>46143</v>
      </c>
      <c r="C14" s="19">
        <v>8</v>
      </c>
      <c r="D14" s="17">
        <v>32.51</v>
      </c>
      <c r="E14" s="18">
        <v>6.2514467592592587E-3</v>
      </c>
      <c r="G14" s="16">
        <v>46143</v>
      </c>
      <c r="H14" s="18">
        <v>6.2514467592592587E-3</v>
      </c>
      <c r="J14" s="16">
        <v>46143</v>
      </c>
      <c r="K14" s="17">
        <v>32.51</v>
      </c>
    </row>
    <row r="15" spans="2:11" x14ac:dyDescent="0.25">
      <c r="B15" s="16">
        <v>46174</v>
      </c>
      <c r="C15" s="19">
        <v>15</v>
      </c>
      <c r="D15" s="17">
        <v>46.3</v>
      </c>
      <c r="E15" s="18">
        <v>6.0694444444444433E-3</v>
      </c>
      <c r="G15" s="16">
        <v>46174</v>
      </c>
      <c r="H15" s="18">
        <v>6.0694444444444433E-3</v>
      </c>
      <c r="J15" s="16">
        <v>46174</v>
      </c>
      <c r="K15" s="17">
        <v>46.3</v>
      </c>
    </row>
    <row r="16" spans="2:11" x14ac:dyDescent="0.25">
      <c r="B16" s="16">
        <v>46204</v>
      </c>
      <c r="C16" s="19">
        <v>6</v>
      </c>
      <c r="D16" s="17">
        <v>23.299999999999997</v>
      </c>
      <c r="E16" s="18">
        <v>6.377314814814814E-3</v>
      </c>
      <c r="G16" s="16">
        <v>46204</v>
      </c>
      <c r="H16" s="18">
        <v>6.377314814814814E-3</v>
      </c>
      <c r="J16" s="16">
        <v>46204</v>
      </c>
      <c r="K16" s="17">
        <v>23.299999999999997</v>
      </c>
    </row>
    <row r="17" spans="2:5" x14ac:dyDescent="0.25">
      <c r="B17" s="21" t="s">
        <v>177</v>
      </c>
      <c r="C17" s="19">
        <v>103</v>
      </c>
      <c r="D17" s="17">
        <v>369.30000000000013</v>
      </c>
      <c r="E17" s="18">
        <v>6.3251752966558784E-3</v>
      </c>
    </row>
  </sheetData>
  <mergeCells count="4">
    <mergeCell ref="B1:K1"/>
    <mergeCell ref="B3:E3"/>
    <mergeCell ref="G3:H3"/>
    <mergeCell ref="J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D0F2B-267B-476A-B38E-690446AF4875}">
  <dimension ref="B1:P27"/>
  <sheetViews>
    <sheetView showGridLines="0" workbookViewId="0"/>
  </sheetViews>
  <sheetFormatPr defaultRowHeight="15" x14ac:dyDescent="0.25"/>
  <cols>
    <col min="1" max="1" width="9.140625" customWidth="1"/>
  </cols>
  <sheetData>
    <row r="1" spans="2:16" ht="30" customHeight="1" x14ac:dyDescent="0.25">
      <c r="B1" s="28" t="s">
        <v>181</v>
      </c>
      <c r="C1" s="28"/>
      <c r="D1" s="28"/>
      <c r="E1" s="28"/>
      <c r="F1" s="28"/>
      <c r="G1" s="28"/>
      <c r="H1" s="28"/>
      <c r="I1" s="28"/>
      <c r="J1" s="28"/>
      <c r="K1" s="28"/>
      <c r="L1" s="28"/>
      <c r="M1" s="28"/>
      <c r="N1" s="28"/>
      <c r="O1" s="28"/>
      <c r="P1" s="28"/>
    </row>
    <row r="2" spans="2:16" ht="24" customHeight="1" x14ac:dyDescent="0.25"/>
    <row r="3" spans="2:16" ht="20.100000000000001" customHeight="1" x14ac:dyDescent="0.25"/>
    <row r="12" spans="2:16" ht="24" customHeight="1" x14ac:dyDescent="0.25"/>
    <row r="18" ht="20.100000000000001" customHeight="1" x14ac:dyDescent="0.25"/>
    <row r="27" ht="24" customHeight="1" x14ac:dyDescent="0.25"/>
  </sheetData>
  <mergeCells count="1">
    <mergeCell ref="B1:P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Runs</vt:lpstr>
      <vt:lpstr>Pivot Analysis</vt:lpstr>
      <vt:lpstr>Dashboard</vt:lpstr>
      <vt:lpstr>FastestQualifyingPace</vt:lpstr>
      <vt:lpstr>SelectedWeather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Steck</cp:lastModifiedBy>
  <dcterms:created xsi:type="dcterms:W3CDTF">2026-07-28T21:08:09Z</dcterms:created>
  <dcterms:modified xsi:type="dcterms:W3CDTF">2026-07-29T02:31:29Z</dcterms:modified>
</cp:coreProperties>
</file>