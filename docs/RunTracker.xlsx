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imelineCaches/timelineCache1.xml" ContentType="application/vnd.ms-excel.timelineCache+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wsteck\Desktop\"/>
    </mc:Choice>
  </mc:AlternateContent>
  <xr:revisionPtr revIDLastSave="0" documentId="13_ncr:1_{F0926FA7-6756-46FC-BC9C-A304EAC239C5}" xr6:coauthVersionLast="47" xr6:coauthVersionMax="47" xr10:uidLastSave="{00000000-0000-0000-0000-000000000000}"/>
  <bookViews>
    <workbookView xWindow="-120" yWindow="-120" windowWidth="38640" windowHeight="21120" xr2:uid="{00000000-000D-0000-FFFF-FFFF00000000}"/>
  </bookViews>
  <sheets>
    <sheet name="Runs" sheetId="1" r:id="rId1"/>
    <sheet name="Pivot Analysis" sheetId="2" r:id="rId2"/>
    <sheet name="Dashboard" sheetId="3" r:id="rId3"/>
  </sheets>
  <definedNames>
    <definedName name="NativeTimeline_Date">#N/A</definedName>
    <definedName name="Slicer_Weather_Condition">#N/A</definedName>
  </definedNames>
  <calcPr calcId="191029"/>
  <pivotCaches>
    <pivotCache cacheId="0" r:id="rId4"/>
  </pivotCaches>
  <extLst>
    <ext xmlns:x14="http://schemas.microsoft.com/office/spreadsheetml/2009/9/main" uri="{79F54976-1DA5-4618-B147-4CDE4B953A38}">
      <x14:workbookPr/>
    </ext>
    <ext xmlns:x15="http://schemas.microsoft.com/office/spreadsheetml/2010/11/main" uri="{D0CA8CA8-9F24-4464-BF8E-62219DCF47F9}">
      <x15:timelineCacheRefs>
        <x15:timelineCacheRef r:id="rId5"/>
      </x15:timelineCacheRefs>
    </ext>
    <ext xmlns:x15="http://schemas.microsoft.com/office/spreadsheetml/2010/11/main" uri="{46BE6895-7355-4a93-B00E-2C351335B9C9}">
      <x15:slicerCaches xmlns:x14="http://schemas.microsoft.com/office/spreadsheetml/2009/9/main">
        <x14:slicerCache r:id="rId6"/>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L5" i="1"/>
  <c r="L3" i="1"/>
  <c r="L2" i="1"/>
  <c r="L4" i="1"/>
</calcChain>
</file>

<file path=xl/sharedStrings.xml><?xml version="1.0" encoding="utf-8"?>
<sst xmlns="http://schemas.openxmlformats.org/spreadsheetml/2006/main" count="229" uniqueCount="169">
  <si>
    <t>Date</t>
  </si>
  <si>
    <t>Start Time</t>
  </si>
  <si>
    <t>Distance</t>
  </si>
  <si>
    <t>Pace</t>
  </si>
  <si>
    <t>Time</t>
  </si>
  <si>
    <t>Weather</t>
  </si>
  <si>
    <t>12:37 PM</t>
  </si>
  <si>
    <t>91°F Drizzle</t>
  </si>
  <si>
    <t>6:12 PM</t>
  </si>
  <si>
    <t>86°F Cloudy</t>
  </si>
  <si>
    <t>12:59 PM</t>
  </si>
  <si>
    <t>88°F Drizzle</t>
  </si>
  <si>
    <t>6:45 PM</t>
  </si>
  <si>
    <t>85°F Drizzle</t>
  </si>
  <si>
    <t>7:15 PM</t>
  </si>
  <si>
    <t>83°F Partly cloudy</t>
  </si>
  <si>
    <t>6:42 PM</t>
  </si>
  <si>
    <t>12:34 PM</t>
  </si>
  <si>
    <t>89°F Partly cloudy</t>
  </si>
  <si>
    <t>6:30 PM</t>
  </si>
  <si>
    <t>89°F Drizzle</t>
  </si>
  <si>
    <t>7:30 PM</t>
  </si>
  <si>
    <t>87°F Clear</t>
  </si>
  <si>
    <t>7:26 PM</t>
  </si>
  <si>
    <t>5:14 PM</t>
  </si>
  <si>
    <t>88°F Partly cloudy</t>
  </si>
  <si>
    <t>7:16 PM</t>
  </si>
  <si>
    <t>5:23 PM</t>
  </si>
  <si>
    <t>86°F Drizzle</t>
  </si>
  <si>
    <t>3:05 PM</t>
  </si>
  <si>
    <t>77°F Rain</t>
  </si>
  <si>
    <t>6:59 PM</t>
  </si>
  <si>
    <t>83°F Drizzle</t>
  </si>
  <si>
    <t>7:25 PM</t>
  </si>
  <si>
    <t>79°F Rain</t>
  </si>
  <si>
    <t>84°F Clear</t>
  </si>
  <si>
    <t>7:03 PM</t>
  </si>
  <si>
    <t>7:13 PM</t>
  </si>
  <si>
    <t>81°F Cloudy</t>
  </si>
  <si>
    <t>5:09 PM</t>
  </si>
  <si>
    <t>80°F Cloudy</t>
  </si>
  <si>
    <t>6:27 PM</t>
  </si>
  <si>
    <t>79°F Cloudy</t>
  </si>
  <si>
    <t>7:14 PM</t>
  </si>
  <si>
    <t>2:45 PM</t>
  </si>
  <si>
    <t>76°F Rain</t>
  </si>
  <si>
    <t>7:17 PM</t>
  </si>
  <si>
    <t>80°F Partly cloudy</t>
  </si>
  <si>
    <t>7:19 PM</t>
  </si>
  <si>
    <t>81°F Clear</t>
  </si>
  <si>
    <t>6:35 PM</t>
  </si>
  <si>
    <t>80°F Drizzle</t>
  </si>
  <si>
    <t>7:20 PM</t>
  </si>
  <si>
    <t>78°F Cloudy</t>
  </si>
  <si>
    <t>7:10 PM</t>
  </si>
  <si>
    <t>76°F Cloudy</t>
  </si>
  <si>
    <t>5:03 PM</t>
  </si>
  <si>
    <t>84°F Cloudy</t>
  </si>
  <si>
    <t>6:52 PM</t>
  </si>
  <si>
    <t>6:00 PM</t>
  </si>
  <si>
    <t>82°F Clear</t>
  </si>
  <si>
    <t>6:50 PM</t>
  </si>
  <si>
    <t>77°F Partly cloudy</t>
  </si>
  <si>
    <t>6:34 PM</t>
  </si>
  <si>
    <t>78°F Partly cloudy</t>
  </si>
  <si>
    <t>5:08 PM</t>
  </si>
  <si>
    <t>75°F Cloudy</t>
  </si>
  <si>
    <t>5:17 PM</t>
  </si>
  <si>
    <t>1:27 PM</t>
  </si>
  <si>
    <t>1:14 PM</t>
  </si>
  <si>
    <t>5:06 PM</t>
  </si>
  <si>
    <t>78°F Clear</t>
  </si>
  <si>
    <t>6:38 PM</t>
  </si>
  <si>
    <t>71°F Clear</t>
  </si>
  <si>
    <t>2:55 PM</t>
  </si>
  <si>
    <t>75°F Partly cloudy</t>
  </si>
  <si>
    <t>4:15 PM</t>
  </si>
  <si>
    <t>5:58 PM</t>
  </si>
  <si>
    <t>80°F Clear</t>
  </si>
  <si>
    <t>6:51 PM</t>
  </si>
  <si>
    <t>5:45 PM</t>
  </si>
  <si>
    <t>53°F Clear</t>
  </si>
  <si>
    <t>5:56 PM</t>
  </si>
  <si>
    <t>70°F Partly cloudy</t>
  </si>
  <si>
    <t>6:07 PM</t>
  </si>
  <si>
    <t>72°F Rain</t>
  </si>
  <si>
    <t>6:49 PM</t>
  </si>
  <si>
    <t>77°F Cloudy</t>
  </si>
  <si>
    <t>5:59 PM</t>
  </si>
  <si>
    <t>5:43 PM</t>
  </si>
  <si>
    <t>77°F Drizzle</t>
  </si>
  <si>
    <t>5:28 PM</t>
  </si>
  <si>
    <t>4:56 PM</t>
  </si>
  <si>
    <t>76°F Clear</t>
  </si>
  <si>
    <t>1:20 PM</t>
  </si>
  <si>
    <t>5:48 PM</t>
  </si>
  <si>
    <t>5:29 PM</t>
  </si>
  <si>
    <t>60°F Clear</t>
  </si>
  <si>
    <t>67°F Clear</t>
  </si>
  <si>
    <t>2:00 PM</t>
  </si>
  <si>
    <t>57°F Cloudy</t>
  </si>
  <si>
    <t>49°F Clear</t>
  </si>
  <si>
    <t>1:31 PM</t>
  </si>
  <si>
    <t>41°F Clear</t>
  </si>
  <si>
    <t>4:58 PM</t>
  </si>
  <si>
    <t>5:10 PM</t>
  </si>
  <si>
    <t>67°F Cloudy</t>
  </si>
  <si>
    <t>5:04 PM</t>
  </si>
  <si>
    <t>54°F Clear</t>
  </si>
  <si>
    <t>4:46 PM</t>
  </si>
  <si>
    <t>66°F Cloudy</t>
  </si>
  <si>
    <t>1:15 PM</t>
  </si>
  <si>
    <t>63°F Cloudy</t>
  </si>
  <si>
    <t>62°F Cloudy</t>
  </si>
  <si>
    <t>1:10 PM</t>
  </si>
  <si>
    <t>58°F Clear</t>
  </si>
  <si>
    <t>4:43 PM</t>
  </si>
  <si>
    <t>4:37 PM</t>
  </si>
  <si>
    <t>56°F Cloudy</t>
  </si>
  <si>
    <t>1:55 PM</t>
  </si>
  <si>
    <t>1:30 PM</t>
  </si>
  <si>
    <t>68°F Cloudy</t>
  </si>
  <si>
    <t>4:38 PM</t>
  </si>
  <si>
    <t>79°F Drizzle</t>
  </si>
  <si>
    <t>2:18 PM</t>
  </si>
  <si>
    <t>75°F Clear</t>
  </si>
  <si>
    <t>1:50 PM</t>
  </si>
  <si>
    <t>79°F Clear</t>
  </si>
  <si>
    <t>5:42 PM</t>
  </si>
  <si>
    <t>12:27 PM</t>
  </si>
  <si>
    <t>70°F Clear</t>
  </si>
  <si>
    <t>5:07 PM</t>
  </si>
  <si>
    <t>69°F Clear</t>
  </si>
  <si>
    <t>4:54 PM</t>
  </si>
  <si>
    <t>65°F Clear</t>
  </si>
  <si>
    <t>11:33 AM</t>
  </si>
  <si>
    <t>59°F Clear</t>
  </si>
  <si>
    <t>11:05 AM</t>
  </si>
  <si>
    <t>61°F Partly cloudy</t>
  </si>
  <si>
    <t>6:37 PM</t>
  </si>
  <si>
    <t>74°F Clear</t>
  </si>
  <si>
    <t>12:58 PM</t>
  </si>
  <si>
    <t>6:24 PM</t>
  </si>
  <si>
    <t>5:20 PM</t>
  </si>
  <si>
    <t>5:47 PM</t>
  </si>
  <si>
    <t>83°F Clear</t>
  </si>
  <si>
    <t>7:00 PM</t>
  </si>
  <si>
    <t>82°F Drizzle</t>
  </si>
  <si>
    <t>6:56 PM</t>
  </si>
  <si>
    <t>86°F Clear</t>
  </si>
  <si>
    <t>85°F Clear</t>
  </si>
  <si>
    <t>7:22 PM</t>
  </si>
  <si>
    <t>82°F Partly cloudy</t>
  </si>
  <si>
    <t>81°F Partly cloudy</t>
  </si>
  <si>
    <t>2:26 PM</t>
  </si>
  <si>
    <t>7:07 PM</t>
  </si>
  <si>
    <t>85°F Partly cloudy</t>
  </si>
  <si>
    <t>84°F Partly cloudy</t>
  </si>
  <si>
    <t>91°F Clear</t>
  </si>
  <si>
    <t>Run Summary</t>
  </si>
  <si>
    <t>Average Distance</t>
  </si>
  <si>
    <t>Average Pace</t>
  </si>
  <si>
    <t>Average Time</t>
  </si>
  <si>
    <t>Total Runs</t>
  </si>
  <si>
    <t>Month Start</t>
  </si>
  <si>
    <t>Temperature</t>
  </si>
  <si>
    <t>Weather Condition</t>
  </si>
  <si>
    <t>Grand Total</t>
  </si>
  <si>
    <t>Total Distance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</si>
</sst>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6" formatCode="0.0"/>
    <numFmt numFmtId="167" formatCode="m:ss"/>
    <numFmt numFmtId="168" formatCode="mmm\ yyyy"/>
    <numFmt numFmtId="169" formatCode="0&quot;°F&quot;"/>
    <numFmt numFmtId="170" formatCode="[m]:ss"/>
  </numFmts>
  <fonts count="4" x14ac:knownFonts="1">
    <font>
      <sz val="11"/>
      <color theme="1"/>
      <name val="Calibri"/>
      <family val="2"/>
      <scheme val="minor"/>
    </font>
    <font>
      <b/>
      <sz val="11"/>
      <color rgb="FFFFFFFF"/>
      <name val="Calibri"/>
    </font>
    <font>
      <b/>
      <sz val="11"/>
      <color theme="1"/>
      <name val="Calibri"/>
      <family val="2"/>
      <scheme val="minor"/>
    </font>
    <font>
      <sz val="11"/>
      <color theme="0"/>
      <name val="Calibri"/>
      <family val="2"/>
      <scheme val="minor"/>
    </font>
  </fonts>
  <fills count="4">
    <fill>
      <patternFill patternType="none"/>
    </fill>
    <fill>
      <patternFill patternType="gray125"/>
    </fill>
    <fill>
      <patternFill patternType="solid">
        <fgColor rgb="FF2563EB"/>
      </patternFill>
    </fill>
    <fill>
      <patternFill patternType="solid">
        <fgColor rgb="FF002060"/>
        <bgColor indexed="64"/>
      </patternFill>
    </fill>
  </fills>
  <borders count="3">
    <border>
      <left/>
      <right/>
      <top/>
      <bottom/>
      <diagonal/>
    </border>
    <border>
      <left style="thin">
        <color rgb="FFE5E7EB"/>
      </left>
      <right style="thin">
        <color rgb="FFE5E7EB"/>
      </right>
      <top style="thin">
        <color rgb="FFE5E7EB"/>
      </top>
      <bottom style="thin">
        <color rgb="FFE5E7EB"/>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9">
    <xf numFmtId="0" fontId="0" fillId="0" borderId="0" xfId="0"/>
    <xf numFmtId="0" fontId="1" fillId="2" borderId="1" xfId="0" applyFont="1" applyFill="1" applyBorder="1" applyAlignment="1">
      <alignment horizontal="left" vertical="center"/>
    </xf>
    <xf numFmtId="164" fontId="0" fillId="0" borderId="1" xfId="0" applyNumberFormat="1" applyBorder="1"/>
    <xf numFmtId="0" fontId="0" fillId="0" borderId="1" xfId="0" applyBorder="1"/>
    <xf numFmtId="166" fontId="0" fillId="0" borderId="1" xfId="0" applyNumberFormat="1" applyBorder="1"/>
    <xf numFmtId="167" fontId="0" fillId="0" borderId="1" xfId="0" applyNumberFormat="1" applyBorder="1"/>
    <xf numFmtId="46" fontId="0" fillId="0" borderId="1" xfId="0" applyNumberFormat="1" applyBorder="1"/>
    <xf numFmtId="2" fontId="0" fillId="0" borderId="0" xfId="0" applyNumberFormat="1"/>
    <xf numFmtId="168" fontId="0" fillId="0" borderId="0" xfId="0" applyNumberFormat="1"/>
    <xf numFmtId="169" fontId="0" fillId="0" borderId="0" xfId="0" applyNumberFormat="1"/>
    <xf numFmtId="0" fontId="0" fillId="0" borderId="0" xfId="0" pivotButton="1"/>
    <xf numFmtId="1" fontId="0" fillId="0" borderId="0" xfId="0" applyNumberFormat="1"/>
    <xf numFmtId="170" fontId="0" fillId="0" borderId="0" xfId="0" applyNumberFormat="1"/>
    <xf numFmtId="0" fontId="2" fillId="0" borderId="2" xfId="0" applyFont="1" applyBorder="1"/>
    <xf numFmtId="2" fontId="0" fillId="0" borderId="2" xfId="0" applyNumberFormat="1" applyBorder="1"/>
    <xf numFmtId="167" fontId="0" fillId="0" borderId="2" xfId="0" applyNumberFormat="1" applyBorder="1"/>
    <xf numFmtId="0" fontId="0" fillId="0" borderId="2" xfId="0" applyBorder="1"/>
    <xf numFmtId="0" fontId="3" fillId="3" borderId="2" xfId="0" applyFont="1" applyFill="1" applyBorder="1" applyAlignment="1">
      <alignment horizontal="center"/>
    </xf>
    <xf numFmtId="21" fontId="0" fillId="0" borderId="2" xfId="0" applyNumberFormat="1" applyBorder="1"/>
  </cellXfs>
  <cellStyles count="1">
    <cellStyle name="Normal" xfId="0" builtinId="0"/>
  </cellStyles>
  <dxfs count="3">
    <dxf>
      <numFmt numFmtId="0" formatCode="General"/>
    </dxf>
    <dxf>
      <numFmt numFmtId="169" formatCode="0&quot;°F&quot;"/>
    </dxf>
    <dxf>
      <numFmt numFmtId="168" formatCode="mmm\ yyyy"/>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5" Type="http://schemas.microsoft.com/office/2011/relationships/timelineCache" Target="timelineCaches/timeline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[RunTracker.xlsx]Pivot Analysis!PaceByMonthPivot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Pace by Month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Analysis'!$G$3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Analysis'!$F$4:$F$15</c:f>
              <c:strCache>
                <c:ptCount val="12"/>
                <c:pt idx="0">
                  <c:v>Aug 2025</c:v>
                </c:pt>
                <c:pt idx="1">
                  <c:v>Sep 2025</c:v>
                </c:pt>
                <c:pt idx="2">
                  <c:v>Oct 2025</c:v>
                </c:pt>
                <c:pt idx="3">
                  <c:v>Nov 2025</c:v>
                </c:pt>
                <c:pt idx="4">
                  <c:v>Dec 2025</c:v>
                </c:pt>
                <c:pt idx="5">
                  <c:v>Jan 2026</c:v>
                </c:pt>
                <c:pt idx="6">
                  <c:v>Feb 2026</c:v>
                </c:pt>
                <c:pt idx="7">
                  <c:v>Mar 2026</c:v>
                </c:pt>
                <c:pt idx="8">
                  <c:v>Apr 2026</c:v>
                </c:pt>
                <c:pt idx="9">
                  <c:v>May 2026</c:v>
                </c:pt>
                <c:pt idx="10">
                  <c:v>Jun 2026</c:v>
                </c:pt>
                <c:pt idx="11">
                  <c:v>Jul 2026</c:v>
                </c:pt>
              </c:strCache>
            </c:strRef>
          </c:cat>
          <c:val>
            <c:numRef>
              <c:f>'Pivot Analysis'!$G$4:$G$15</c:f>
              <c:numCache>
                <c:formatCode>[m]:ss</c:formatCode>
                <c:ptCount val="12"/>
                <c:pt idx="0">
                  <c:v>5.9282407407407409E-3</c:v>
                </c:pt>
                <c:pt idx="1">
                  <c:v>6.4732142857142861E-3</c:v>
                </c:pt>
                <c:pt idx="2">
                  <c:v>6.6145833333333334E-3</c:v>
                </c:pt>
                <c:pt idx="3">
                  <c:v>6.3576388888888892E-3</c:v>
                </c:pt>
                <c:pt idx="4">
                  <c:v>6.1550925925925922E-3</c:v>
                </c:pt>
                <c:pt idx="5">
                  <c:v>6.332671957671958E-3</c:v>
                </c:pt>
                <c:pt idx="6">
                  <c:v>6.8229166666666664E-3</c:v>
                </c:pt>
                <c:pt idx="7">
                  <c:v>6.1885683760683763E-3</c:v>
                </c:pt>
                <c:pt idx="8">
                  <c:v>6.5117521367521365E-3</c:v>
                </c:pt>
                <c:pt idx="9">
                  <c:v>6.2514467592592587E-3</c:v>
                </c:pt>
                <c:pt idx="10">
                  <c:v>6.0694444444444433E-3</c:v>
                </c:pt>
                <c:pt idx="11">
                  <c:v>6.377314814814814E-3</c:v>
                </c:pt>
              </c:numCache>
            </c:numRef>
          </c:val>
          <c:smooth val="0"/>
          <c:extLst>
            <c:ext xmlns:c16="http://schemas.microsoft.com/office/drawing/2014/chart" uri="{C3380CC4-5D6E-409C-BE32-E72D297353CC}">
              <c16:uniqueId val="{00000000-247A-4A9C-B36C-8E1001C51EF3}"/>
            </c:ext>
          </c:extLst>
        </c:ser>
        <c:dLbls>
          <c:showLegendKey val="0"/>
          <c:showVal val="0"/>
          <c:showCatName val="0"/>
          <c:showSerName val="0"/>
          <c:showPercent val="0"/>
          <c:showBubbleSize val="0"/>
        </c:dLbls>
        <c:marker val="1"/>
        <c:smooth val="0"/>
        <c:axId val="564797967"/>
        <c:axId val="564798447"/>
      </c:lineChart>
      <c:catAx>
        <c:axId val="564797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798447"/>
        <c:crosses val="autoZero"/>
        <c:auto val="1"/>
        <c:lblAlgn val="ctr"/>
        <c:lblOffset val="100"/>
        <c:noMultiLvlLbl val="0"/>
      </c:catAx>
      <c:valAx>
        <c:axId val="56479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Pace (min/mile)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ss"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4797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[RunTracker.xlsx]Pivot Analysis!DistanceByMonthPivot</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Running Distance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Analysis'!$J$3</c:f>
              <c:strCache>
                <c:ptCount val="1"/>
                <c:pt idx="0">
                  <c:v>Total</c:v>
                </c:pt>
              </c:strCache>
            </c:strRef>
          </c:tx>
          <c:spPr>
            <a:solidFill>
              <a:schemeClr val="accent1"/>
            </a:solidFill>
            <a:ln>
              <a:noFill/>
            </a:ln>
            <a:effectLst/>
          </c:spPr>
          <c:invertIfNegative val="0"/>
          <c:cat>
            <c:strRef>
              <c:f>'Pivot Analysis'!$I$4:$I$15</c:f>
              <c:strCache>
                <c:ptCount val="12"/>
                <c:pt idx="0">
                  <c:v>Aug 2025</c:v>
                </c:pt>
                <c:pt idx="1">
                  <c:v>Sep 2025</c:v>
                </c:pt>
                <c:pt idx="2">
                  <c:v>Oct 2025</c:v>
                </c:pt>
                <c:pt idx="3">
                  <c:v>Nov 2025</c:v>
                </c:pt>
                <c:pt idx="4">
                  <c:v>Dec 2025</c:v>
                </c:pt>
                <c:pt idx="5">
                  <c:v>Jan 2026</c:v>
                </c:pt>
                <c:pt idx="6">
                  <c:v>Feb 2026</c:v>
                </c:pt>
                <c:pt idx="7">
                  <c:v>Mar 2026</c:v>
                </c:pt>
                <c:pt idx="8">
                  <c:v>Apr 2026</c:v>
                </c:pt>
                <c:pt idx="9">
                  <c:v>May 2026</c:v>
                </c:pt>
                <c:pt idx="10">
                  <c:v>Jun 2026</c:v>
                </c:pt>
                <c:pt idx="11">
                  <c:v>Jul 2026</c:v>
                </c:pt>
              </c:strCache>
            </c:strRef>
          </c:cat>
          <c:val>
            <c:numRef>
              <c:f>'Pivot Analysis'!$J$4:$J$15</c:f>
              <c:numCache>
                <c:formatCode>0.00</c:formatCode>
                <c:ptCount val="12"/>
                <c:pt idx="0">
                  <c:v>15.020000000000001</c:v>
                </c:pt>
                <c:pt idx="1">
                  <c:v>20.440000000000001</c:v>
                </c:pt>
                <c:pt idx="2">
                  <c:v>36.46</c:v>
                </c:pt>
                <c:pt idx="3">
                  <c:v>31.159999999999997</c:v>
                </c:pt>
                <c:pt idx="4">
                  <c:v>16.490000000000002</c:v>
                </c:pt>
                <c:pt idx="5">
                  <c:v>29.099999999999998</c:v>
                </c:pt>
                <c:pt idx="6">
                  <c:v>17.350000000000001</c:v>
                </c:pt>
                <c:pt idx="7">
                  <c:v>51.749999999999993</c:v>
                </c:pt>
                <c:pt idx="8">
                  <c:v>49.42</c:v>
                </c:pt>
                <c:pt idx="9">
                  <c:v>32.51</c:v>
                </c:pt>
                <c:pt idx="10">
                  <c:v>46.3</c:v>
                </c:pt>
                <c:pt idx="11">
                  <c:v>23.299999999999997</c:v>
                </c:pt>
              </c:numCache>
            </c:numRef>
          </c:val>
          <c:extLst>
            <c:ext xmlns:c16="http://schemas.microsoft.com/office/drawing/2014/chart" uri="{C3380CC4-5D6E-409C-BE32-E72D297353CC}">
              <c16:uniqueId val="{00000000-8E3B-4820-B8F4-88EC33C3B3C4}"/>
            </c:ext>
          </c:extLst>
        </c:ser>
        <c:dLbls>
          <c:showLegendKey val="0"/>
          <c:showVal val="0"/>
          <c:showCatName val="0"/>
          <c:showSerName val="0"/>
          <c:showPercent val="0"/>
          <c:showBubbleSize val="0"/>
        </c:dLbls>
        <c:gapWidth val="80"/>
        <c:overlap val="-27"/>
        <c:axId val="1302515839"/>
        <c:axId val="1302524959"/>
      </c:barChart>
      <c:catAx>
        <c:axId val="1302515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524959"/>
        <c:crosses val="autoZero"/>
        <c:auto val="1"/>
        <c:lblAlgn val="ctr"/>
        <c:lblOffset val="100"/>
        <c:noMultiLvlLbl val="0"/>
      </c:catAx>
      <c:valAx>
        <c:axId val="13025249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Distance (miles)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515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Distance vs. Pace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Runs!$D$1</c:f>
              <c:strCache>
                <c:ptCount val="1"/>
                <c:pt idx="0">
                  <c:v>Pace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0"/>
            <c:trendlineLbl>
              <c:layout>
                <c:manualLayout>
                  <c:x val="8.5028502296587927E-2"/>
                  <c:y val="-0.5391614173228346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Runs!$C$2:$C$104</c:f>
              <c:numCache>
                <c:formatCode>0.0</c:formatCode>
                <c:ptCount val="103"/>
                <c:pt idx="0">
                  <c:v>4.09</c:v>
                </c:pt>
                <c:pt idx="1">
                  <c:v>4.2</c:v>
                </c:pt>
                <c:pt idx="2">
                  <c:v>2.4500000000000002</c:v>
                </c:pt>
                <c:pt idx="3">
                  <c:v>3.97</c:v>
                </c:pt>
                <c:pt idx="4">
                  <c:v>4.21</c:v>
                </c:pt>
                <c:pt idx="5">
                  <c:v>4.38</c:v>
                </c:pt>
                <c:pt idx="6">
                  <c:v>2.57</c:v>
                </c:pt>
                <c:pt idx="7">
                  <c:v>4.1900000000000004</c:v>
                </c:pt>
                <c:pt idx="8">
                  <c:v>4.29</c:v>
                </c:pt>
                <c:pt idx="9">
                  <c:v>1.58</c:v>
                </c:pt>
                <c:pt idx="10">
                  <c:v>4.05</c:v>
                </c:pt>
                <c:pt idx="11">
                  <c:v>2.98</c:v>
                </c:pt>
                <c:pt idx="12">
                  <c:v>2.63</c:v>
                </c:pt>
                <c:pt idx="13">
                  <c:v>2.9</c:v>
                </c:pt>
                <c:pt idx="14">
                  <c:v>1.53</c:v>
                </c:pt>
                <c:pt idx="15">
                  <c:v>2.2599999999999998</c:v>
                </c:pt>
                <c:pt idx="16">
                  <c:v>2.79</c:v>
                </c:pt>
                <c:pt idx="17">
                  <c:v>4.42</c:v>
                </c:pt>
                <c:pt idx="18">
                  <c:v>2.97</c:v>
                </c:pt>
                <c:pt idx="19">
                  <c:v>2.62</c:v>
                </c:pt>
                <c:pt idx="20">
                  <c:v>4.5199999999999996</c:v>
                </c:pt>
                <c:pt idx="21">
                  <c:v>4.54</c:v>
                </c:pt>
                <c:pt idx="22">
                  <c:v>4.0599999999999996</c:v>
                </c:pt>
                <c:pt idx="23">
                  <c:v>4.1399999999999997</c:v>
                </c:pt>
                <c:pt idx="24">
                  <c:v>2.81</c:v>
                </c:pt>
                <c:pt idx="25">
                  <c:v>4.34</c:v>
                </c:pt>
                <c:pt idx="26">
                  <c:v>4.46</c:v>
                </c:pt>
                <c:pt idx="27">
                  <c:v>4.18</c:v>
                </c:pt>
                <c:pt idx="28">
                  <c:v>3.98</c:v>
                </c:pt>
                <c:pt idx="29">
                  <c:v>3.97</c:v>
                </c:pt>
                <c:pt idx="30">
                  <c:v>2.74</c:v>
                </c:pt>
                <c:pt idx="31">
                  <c:v>5.62</c:v>
                </c:pt>
                <c:pt idx="32">
                  <c:v>1.7</c:v>
                </c:pt>
                <c:pt idx="33">
                  <c:v>4.43</c:v>
                </c:pt>
                <c:pt idx="34">
                  <c:v>4.58</c:v>
                </c:pt>
                <c:pt idx="35">
                  <c:v>4.54</c:v>
                </c:pt>
                <c:pt idx="36">
                  <c:v>2.99</c:v>
                </c:pt>
                <c:pt idx="37">
                  <c:v>5.64</c:v>
                </c:pt>
                <c:pt idx="38">
                  <c:v>1.23</c:v>
                </c:pt>
                <c:pt idx="39">
                  <c:v>4.63</c:v>
                </c:pt>
                <c:pt idx="40">
                  <c:v>4.54</c:v>
                </c:pt>
                <c:pt idx="41">
                  <c:v>2.81</c:v>
                </c:pt>
                <c:pt idx="42">
                  <c:v>4.58</c:v>
                </c:pt>
                <c:pt idx="43">
                  <c:v>4.6100000000000003</c:v>
                </c:pt>
                <c:pt idx="44">
                  <c:v>4.5999999999999996</c:v>
                </c:pt>
                <c:pt idx="45">
                  <c:v>4.68</c:v>
                </c:pt>
                <c:pt idx="46">
                  <c:v>4.5599999999999996</c:v>
                </c:pt>
                <c:pt idx="47">
                  <c:v>4.63</c:v>
                </c:pt>
                <c:pt idx="48">
                  <c:v>2.94</c:v>
                </c:pt>
                <c:pt idx="49">
                  <c:v>2.99</c:v>
                </c:pt>
                <c:pt idx="50">
                  <c:v>2.9</c:v>
                </c:pt>
                <c:pt idx="51">
                  <c:v>3.01</c:v>
                </c:pt>
                <c:pt idx="52">
                  <c:v>3.05</c:v>
                </c:pt>
                <c:pt idx="53">
                  <c:v>4.57</c:v>
                </c:pt>
                <c:pt idx="54">
                  <c:v>4.63</c:v>
                </c:pt>
                <c:pt idx="55">
                  <c:v>3.61</c:v>
                </c:pt>
                <c:pt idx="56">
                  <c:v>4.6100000000000003</c:v>
                </c:pt>
                <c:pt idx="57">
                  <c:v>4.6100000000000003</c:v>
                </c:pt>
                <c:pt idx="58">
                  <c:v>4.5199999999999996</c:v>
                </c:pt>
                <c:pt idx="59">
                  <c:v>4.6100000000000003</c:v>
                </c:pt>
                <c:pt idx="60">
                  <c:v>4.63</c:v>
                </c:pt>
                <c:pt idx="61">
                  <c:v>4.6100000000000003</c:v>
                </c:pt>
                <c:pt idx="62">
                  <c:v>4.66</c:v>
                </c:pt>
                <c:pt idx="63">
                  <c:v>2.97</c:v>
                </c:pt>
                <c:pt idx="64">
                  <c:v>4.72</c:v>
                </c:pt>
                <c:pt idx="65">
                  <c:v>2.9</c:v>
                </c:pt>
                <c:pt idx="66">
                  <c:v>4.68</c:v>
                </c:pt>
                <c:pt idx="67">
                  <c:v>2.95</c:v>
                </c:pt>
                <c:pt idx="68">
                  <c:v>3.02</c:v>
                </c:pt>
                <c:pt idx="69">
                  <c:v>2.93</c:v>
                </c:pt>
                <c:pt idx="70">
                  <c:v>2.91</c:v>
                </c:pt>
                <c:pt idx="71">
                  <c:v>4.6500000000000004</c:v>
                </c:pt>
                <c:pt idx="72">
                  <c:v>2.98</c:v>
                </c:pt>
                <c:pt idx="73">
                  <c:v>2.98</c:v>
                </c:pt>
                <c:pt idx="74">
                  <c:v>2.92</c:v>
                </c:pt>
                <c:pt idx="75">
                  <c:v>3.56</c:v>
                </c:pt>
                <c:pt idx="76">
                  <c:v>2.98</c:v>
                </c:pt>
                <c:pt idx="77">
                  <c:v>3.01</c:v>
                </c:pt>
                <c:pt idx="78">
                  <c:v>2.13</c:v>
                </c:pt>
                <c:pt idx="79">
                  <c:v>2.96</c:v>
                </c:pt>
                <c:pt idx="80">
                  <c:v>2.99</c:v>
                </c:pt>
                <c:pt idx="81">
                  <c:v>3</c:v>
                </c:pt>
                <c:pt idx="82">
                  <c:v>2.98</c:v>
                </c:pt>
                <c:pt idx="83">
                  <c:v>3.01</c:v>
                </c:pt>
                <c:pt idx="84">
                  <c:v>2.97</c:v>
                </c:pt>
                <c:pt idx="85">
                  <c:v>4.63</c:v>
                </c:pt>
                <c:pt idx="86">
                  <c:v>2.97</c:v>
                </c:pt>
                <c:pt idx="87">
                  <c:v>4.8099999999999996</c:v>
                </c:pt>
                <c:pt idx="88">
                  <c:v>4.66</c:v>
                </c:pt>
                <c:pt idx="89">
                  <c:v>4.54</c:v>
                </c:pt>
                <c:pt idx="90">
                  <c:v>2.89</c:v>
                </c:pt>
                <c:pt idx="91">
                  <c:v>2.94</c:v>
                </c:pt>
                <c:pt idx="92">
                  <c:v>2.82</c:v>
                </c:pt>
                <c:pt idx="93">
                  <c:v>2.97</c:v>
                </c:pt>
                <c:pt idx="94">
                  <c:v>2.82</c:v>
                </c:pt>
                <c:pt idx="95">
                  <c:v>2.87</c:v>
                </c:pt>
                <c:pt idx="96">
                  <c:v>3.02</c:v>
                </c:pt>
                <c:pt idx="97">
                  <c:v>3</c:v>
                </c:pt>
                <c:pt idx="98">
                  <c:v>3.05</c:v>
                </c:pt>
                <c:pt idx="99">
                  <c:v>3</c:v>
                </c:pt>
                <c:pt idx="100">
                  <c:v>3.02</c:v>
                </c:pt>
                <c:pt idx="101">
                  <c:v>2.96</c:v>
                </c:pt>
                <c:pt idx="102">
                  <c:v>2.99</c:v>
                </c:pt>
              </c:numCache>
            </c:numRef>
          </c:xVal>
          <c:yVal>
            <c:numRef>
              <c:f>Runs!$D$2:$D$104</c:f>
              <c:numCache>
                <c:formatCode>m:ss</c:formatCode>
                <c:ptCount val="103"/>
                <c:pt idx="0">
                  <c:v>7.0486111111111114E-3</c:v>
                </c:pt>
                <c:pt idx="1">
                  <c:v>5.8564814814814816E-3</c:v>
                </c:pt>
                <c:pt idx="2">
                  <c:v>6.4004629629629628E-3</c:v>
                </c:pt>
                <c:pt idx="3">
                  <c:v>5.9953703703703714E-3</c:v>
                </c:pt>
                <c:pt idx="4">
                  <c:v>6.3657407407407404E-3</c:v>
                </c:pt>
                <c:pt idx="5">
                  <c:v>6.5972222222222222E-3</c:v>
                </c:pt>
                <c:pt idx="6">
                  <c:v>7.1064814814814819E-3</c:v>
                </c:pt>
                <c:pt idx="7">
                  <c:v>5.8564814814814816E-3</c:v>
                </c:pt>
                <c:pt idx="8">
                  <c:v>6.3425925925925924E-3</c:v>
                </c:pt>
                <c:pt idx="9">
                  <c:v>5.324074074074074E-3</c:v>
                </c:pt>
                <c:pt idx="10">
                  <c:v>6.2037037037037026E-3</c:v>
                </c:pt>
                <c:pt idx="11">
                  <c:v>6.4930555555555557E-3</c:v>
                </c:pt>
                <c:pt idx="12">
                  <c:v>5.6249999999999998E-3</c:v>
                </c:pt>
                <c:pt idx="13">
                  <c:v>5.6712962962962967E-3</c:v>
                </c:pt>
                <c:pt idx="14">
                  <c:v>5.347222222222222E-3</c:v>
                </c:pt>
                <c:pt idx="15">
                  <c:v>6.1342592592592586E-3</c:v>
                </c:pt>
                <c:pt idx="16">
                  <c:v>6.6319444444444446E-3</c:v>
                </c:pt>
                <c:pt idx="17">
                  <c:v>5.9143518518518521E-3</c:v>
                </c:pt>
                <c:pt idx="18">
                  <c:v>5.8796296296296296E-3</c:v>
                </c:pt>
                <c:pt idx="19">
                  <c:v>6.3310185185185188E-3</c:v>
                </c:pt>
                <c:pt idx="20">
                  <c:v>6.1805555555555546E-3</c:v>
                </c:pt>
                <c:pt idx="21">
                  <c:v>6.0185185185185194E-3</c:v>
                </c:pt>
                <c:pt idx="22">
                  <c:v>6.2500000000000003E-3</c:v>
                </c:pt>
                <c:pt idx="23">
                  <c:v>6.2152777777777779E-3</c:v>
                </c:pt>
                <c:pt idx="24">
                  <c:v>6.0069444444444441E-3</c:v>
                </c:pt>
                <c:pt idx="25">
                  <c:v>6.3194444444444444E-3</c:v>
                </c:pt>
                <c:pt idx="26">
                  <c:v>6.1111111111111114E-3</c:v>
                </c:pt>
                <c:pt idx="27">
                  <c:v>6.6435185185185182E-3</c:v>
                </c:pt>
                <c:pt idx="28">
                  <c:v>6.4467592592592588E-3</c:v>
                </c:pt>
                <c:pt idx="29">
                  <c:v>6.7476851851851864E-3</c:v>
                </c:pt>
                <c:pt idx="30">
                  <c:v>6.0416666666666674E-3</c:v>
                </c:pt>
                <c:pt idx="31">
                  <c:v>6.0416666666666674E-3</c:v>
                </c:pt>
                <c:pt idx="32">
                  <c:v>6.5046296296296293E-3</c:v>
                </c:pt>
                <c:pt idx="33">
                  <c:v>6.7013888888888887E-3</c:v>
                </c:pt>
                <c:pt idx="34">
                  <c:v>5.9490740740740754E-3</c:v>
                </c:pt>
                <c:pt idx="35">
                  <c:v>6.030092592592593E-3</c:v>
                </c:pt>
                <c:pt idx="36">
                  <c:v>5.8217592592592592E-3</c:v>
                </c:pt>
                <c:pt idx="37">
                  <c:v>9.4675925925925934E-3</c:v>
                </c:pt>
                <c:pt idx="38">
                  <c:v>6.5624999999999998E-3</c:v>
                </c:pt>
                <c:pt idx="39">
                  <c:v>6.4351851851851853E-3</c:v>
                </c:pt>
                <c:pt idx="40">
                  <c:v>6.053240740740741E-3</c:v>
                </c:pt>
                <c:pt idx="41">
                  <c:v>6.2962962962962964E-3</c:v>
                </c:pt>
                <c:pt idx="42">
                  <c:v>6.0879629629629634E-3</c:v>
                </c:pt>
                <c:pt idx="43">
                  <c:v>6.8055555555555551E-3</c:v>
                </c:pt>
                <c:pt idx="44">
                  <c:v>6.0185185185185194E-3</c:v>
                </c:pt>
                <c:pt idx="45">
                  <c:v>6.1574074074074066E-3</c:v>
                </c:pt>
                <c:pt idx="46">
                  <c:v>6.0648148148148154E-3</c:v>
                </c:pt>
                <c:pt idx="47">
                  <c:v>6.2847222222222219E-3</c:v>
                </c:pt>
                <c:pt idx="48">
                  <c:v>5.6944444444444447E-3</c:v>
                </c:pt>
                <c:pt idx="49">
                  <c:v>6.3194444444444444E-3</c:v>
                </c:pt>
                <c:pt idx="50">
                  <c:v>6.5046296296296293E-3</c:v>
                </c:pt>
                <c:pt idx="51">
                  <c:v>6.2847222222222219E-3</c:v>
                </c:pt>
                <c:pt idx="52">
                  <c:v>5.4861111111111109E-3</c:v>
                </c:pt>
                <c:pt idx="53">
                  <c:v>6.2500000000000003E-3</c:v>
                </c:pt>
                <c:pt idx="54">
                  <c:v>6.4930555555555557E-3</c:v>
                </c:pt>
                <c:pt idx="55">
                  <c:v>7.4652777777777781E-3</c:v>
                </c:pt>
                <c:pt idx="56">
                  <c:v>5.9722222222222234E-3</c:v>
                </c:pt>
                <c:pt idx="57">
                  <c:v>5.8333333333333336E-3</c:v>
                </c:pt>
                <c:pt idx="58">
                  <c:v>8.0208333333333329E-3</c:v>
                </c:pt>
                <c:pt idx="59">
                  <c:v>5.9722222222222234E-3</c:v>
                </c:pt>
                <c:pt idx="60">
                  <c:v>6.122685185185185E-3</c:v>
                </c:pt>
                <c:pt idx="61">
                  <c:v>6.2731481481481484E-3</c:v>
                </c:pt>
                <c:pt idx="62">
                  <c:v>6.3425925925925924E-3</c:v>
                </c:pt>
                <c:pt idx="63">
                  <c:v>6.3078703703703708E-3</c:v>
                </c:pt>
                <c:pt idx="64">
                  <c:v>6.6203703703703702E-3</c:v>
                </c:pt>
                <c:pt idx="65">
                  <c:v>6.6898148148148151E-3</c:v>
                </c:pt>
                <c:pt idx="66">
                  <c:v>6.4004629629629628E-3</c:v>
                </c:pt>
                <c:pt idx="67">
                  <c:v>5.9259259259259256E-3</c:v>
                </c:pt>
                <c:pt idx="68">
                  <c:v>6.4699074074074077E-3</c:v>
                </c:pt>
                <c:pt idx="69">
                  <c:v>6.0416666666666674E-3</c:v>
                </c:pt>
                <c:pt idx="70">
                  <c:v>5.9375000000000001E-3</c:v>
                </c:pt>
                <c:pt idx="71">
                  <c:v>6.1342592592592586E-3</c:v>
                </c:pt>
                <c:pt idx="72">
                  <c:v>6.3541666666666668E-3</c:v>
                </c:pt>
                <c:pt idx="73">
                  <c:v>6.1111111111111114E-3</c:v>
                </c:pt>
                <c:pt idx="74">
                  <c:v>7.3842592592592597E-3</c:v>
                </c:pt>
                <c:pt idx="75">
                  <c:v>6.1805555555555546E-3</c:v>
                </c:pt>
                <c:pt idx="76">
                  <c:v>6.8171296296296296E-3</c:v>
                </c:pt>
                <c:pt idx="77">
                  <c:v>6.145833333333333E-3</c:v>
                </c:pt>
                <c:pt idx="78">
                  <c:v>6.7824074074074071E-3</c:v>
                </c:pt>
                <c:pt idx="79">
                  <c:v>6.0185185185185194E-3</c:v>
                </c:pt>
                <c:pt idx="80">
                  <c:v>5.6481481481481478E-3</c:v>
                </c:pt>
                <c:pt idx="81">
                  <c:v>6.2731481481481484E-3</c:v>
                </c:pt>
                <c:pt idx="82">
                  <c:v>6.4814814814814813E-3</c:v>
                </c:pt>
                <c:pt idx="83">
                  <c:v>5.9027777777777776E-3</c:v>
                </c:pt>
                <c:pt idx="84">
                  <c:v>5.8912037037037041E-3</c:v>
                </c:pt>
                <c:pt idx="85">
                  <c:v>6.7013888888888887E-3</c:v>
                </c:pt>
                <c:pt idx="86">
                  <c:v>6.145833333333333E-3</c:v>
                </c:pt>
                <c:pt idx="87">
                  <c:v>7.6736111111111111E-3</c:v>
                </c:pt>
                <c:pt idx="88">
                  <c:v>7.766203703703704E-3</c:v>
                </c:pt>
                <c:pt idx="89">
                  <c:v>6.5740740740740742E-3</c:v>
                </c:pt>
                <c:pt idx="90">
                  <c:v>6.7361111111111111E-3</c:v>
                </c:pt>
                <c:pt idx="91">
                  <c:v>7.060185185185185E-3</c:v>
                </c:pt>
                <c:pt idx="92">
                  <c:v>6.3888888888888893E-3</c:v>
                </c:pt>
                <c:pt idx="93">
                  <c:v>6.4930555555555557E-3</c:v>
                </c:pt>
                <c:pt idx="94">
                  <c:v>6.2615740740740739E-3</c:v>
                </c:pt>
                <c:pt idx="95">
                  <c:v>6.9560185185185176E-3</c:v>
                </c:pt>
                <c:pt idx="96">
                  <c:v>6.1689814814814819E-3</c:v>
                </c:pt>
                <c:pt idx="97">
                  <c:v>5.9837962962962961E-3</c:v>
                </c:pt>
                <c:pt idx="98">
                  <c:v>6.0185185185185194E-3</c:v>
                </c:pt>
                <c:pt idx="99">
                  <c:v>5.9953703703703714E-3</c:v>
                </c:pt>
                <c:pt idx="100">
                  <c:v>6.3194444444444444E-3</c:v>
                </c:pt>
                <c:pt idx="101">
                  <c:v>5.7986111111111112E-3</c:v>
                </c:pt>
                <c:pt idx="102">
                  <c:v>5.5092592592592589E-3</c:v>
                </c:pt>
              </c:numCache>
            </c:numRef>
          </c:yVal>
          <c:smooth val="0"/>
          <c:extLst>
            <c:ext xmlns:c16="http://schemas.microsoft.com/office/drawing/2014/chart" uri="{C3380CC4-5D6E-409C-BE32-E72D297353CC}">
              <c16:uniqueId val="{00000000-CE28-4CC5-AB77-3D19C6431BAE}"/>
            </c:ext>
          </c:extLst>
        </c:ser>
        <c:dLbls>
          <c:showLegendKey val="0"/>
          <c:showVal val="0"/>
          <c:showCatName val="0"/>
          <c:showSerName val="0"/>
          <c:showPercent val="0"/>
          <c:showBubbleSize val="0"/>
        </c:dLbls>
        <c:axId val="1302527359"/>
        <c:axId val="1302511999"/>
      </c:scatterChart>
      <c:valAx>
        <c:axId val="130252735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Distance (miles)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511999"/>
        <c:crosses val="max"/>
        <c:crossBetween val="midCat"/>
      </c:valAx>
      <c:valAx>
        <c:axId val="1302511999"/>
        <c:scaling>
          <c:orientation val="maxMin"/>
          <c:max val="8.0000000000000019E-3"/>
          <c:min val="4.5000000000000014E-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Pace (min/mile)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ss"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5273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Temperature vs. Pace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Runs!$D$1</c:f>
              <c:strCache>
                <c:ptCount val="1"/>
                <c:pt idx="0">
                  <c:v>Pace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0"/>
            <c:trendlineLbl>
              <c:layout>
                <c:manualLayout>
                  <c:x val="0.12036724901574804"/>
                  <c:y val="-0.5246128608923884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Runs!$H$2:$H$104</c:f>
              <c:numCache>
                <c:formatCode>0"°F"</c:formatCode>
                <c:ptCount val="103"/>
                <c:pt idx="0">
                  <c:v>91</c:v>
                </c:pt>
                <c:pt idx="1">
                  <c:v>86</c:v>
                </c:pt>
                <c:pt idx="2">
                  <c:v>88</c:v>
                </c:pt>
                <c:pt idx="3">
                  <c:v>85</c:v>
                </c:pt>
                <c:pt idx="4">
                  <c:v>83</c:v>
                </c:pt>
                <c:pt idx="5">
                  <c:v>85</c:v>
                </c:pt>
                <c:pt idx="6">
                  <c:v>89</c:v>
                </c:pt>
                <c:pt idx="7">
                  <c:v>89</c:v>
                </c:pt>
                <c:pt idx="8">
                  <c:v>87</c:v>
                </c:pt>
                <c:pt idx="9">
                  <c:v>85</c:v>
                </c:pt>
                <c:pt idx="10">
                  <c:v>88</c:v>
                </c:pt>
                <c:pt idx="11">
                  <c:v>89</c:v>
                </c:pt>
                <c:pt idx="12">
                  <c:v>86</c:v>
                </c:pt>
                <c:pt idx="13">
                  <c:v>77</c:v>
                </c:pt>
                <c:pt idx="14">
                  <c:v>83</c:v>
                </c:pt>
                <c:pt idx="15">
                  <c:v>79</c:v>
                </c:pt>
                <c:pt idx="16">
                  <c:v>84</c:v>
                </c:pt>
                <c:pt idx="17">
                  <c:v>83</c:v>
                </c:pt>
                <c:pt idx="18">
                  <c:v>81</c:v>
                </c:pt>
                <c:pt idx="19">
                  <c:v>80</c:v>
                </c:pt>
                <c:pt idx="20">
                  <c:v>79</c:v>
                </c:pt>
                <c:pt idx="21">
                  <c:v>81</c:v>
                </c:pt>
                <c:pt idx="22">
                  <c:v>81</c:v>
                </c:pt>
                <c:pt idx="23">
                  <c:v>76</c:v>
                </c:pt>
                <c:pt idx="24">
                  <c:v>80</c:v>
                </c:pt>
                <c:pt idx="25">
                  <c:v>81</c:v>
                </c:pt>
                <c:pt idx="26">
                  <c:v>80</c:v>
                </c:pt>
                <c:pt idx="27">
                  <c:v>78</c:v>
                </c:pt>
                <c:pt idx="28">
                  <c:v>76</c:v>
                </c:pt>
                <c:pt idx="29">
                  <c:v>84</c:v>
                </c:pt>
                <c:pt idx="30">
                  <c:v>80</c:v>
                </c:pt>
                <c:pt idx="31">
                  <c:v>82</c:v>
                </c:pt>
                <c:pt idx="32">
                  <c:v>76</c:v>
                </c:pt>
                <c:pt idx="33">
                  <c:v>77</c:v>
                </c:pt>
                <c:pt idx="34">
                  <c:v>78</c:v>
                </c:pt>
                <c:pt idx="35">
                  <c:v>75</c:v>
                </c:pt>
                <c:pt idx="36">
                  <c:v>80</c:v>
                </c:pt>
                <c:pt idx="37">
                  <c:v>81</c:v>
                </c:pt>
                <c:pt idx="38">
                  <c:v>81</c:v>
                </c:pt>
                <c:pt idx="39">
                  <c:v>78</c:v>
                </c:pt>
                <c:pt idx="40">
                  <c:v>71</c:v>
                </c:pt>
                <c:pt idx="41">
                  <c:v>80</c:v>
                </c:pt>
                <c:pt idx="42">
                  <c:v>75</c:v>
                </c:pt>
                <c:pt idx="43">
                  <c:v>83</c:v>
                </c:pt>
                <c:pt idx="44">
                  <c:v>80</c:v>
                </c:pt>
                <c:pt idx="45">
                  <c:v>82</c:v>
                </c:pt>
                <c:pt idx="46">
                  <c:v>71</c:v>
                </c:pt>
                <c:pt idx="47">
                  <c:v>53</c:v>
                </c:pt>
                <c:pt idx="48">
                  <c:v>70</c:v>
                </c:pt>
                <c:pt idx="49">
                  <c:v>72</c:v>
                </c:pt>
                <c:pt idx="50">
                  <c:v>77</c:v>
                </c:pt>
                <c:pt idx="51">
                  <c:v>77</c:v>
                </c:pt>
                <c:pt idx="52">
                  <c:v>77</c:v>
                </c:pt>
                <c:pt idx="53">
                  <c:v>77</c:v>
                </c:pt>
                <c:pt idx="54">
                  <c:v>76</c:v>
                </c:pt>
                <c:pt idx="55">
                  <c:v>71</c:v>
                </c:pt>
                <c:pt idx="56">
                  <c:v>75</c:v>
                </c:pt>
                <c:pt idx="57">
                  <c:v>60</c:v>
                </c:pt>
                <c:pt idx="58">
                  <c:v>67</c:v>
                </c:pt>
                <c:pt idx="59">
                  <c:v>57</c:v>
                </c:pt>
                <c:pt idx="60">
                  <c:v>49</c:v>
                </c:pt>
                <c:pt idx="61">
                  <c:v>41</c:v>
                </c:pt>
                <c:pt idx="62">
                  <c:v>70</c:v>
                </c:pt>
                <c:pt idx="63">
                  <c:v>67</c:v>
                </c:pt>
                <c:pt idx="64">
                  <c:v>54</c:v>
                </c:pt>
                <c:pt idx="65">
                  <c:v>66</c:v>
                </c:pt>
                <c:pt idx="66">
                  <c:v>63</c:v>
                </c:pt>
                <c:pt idx="67">
                  <c:v>62</c:v>
                </c:pt>
                <c:pt idx="68">
                  <c:v>58</c:v>
                </c:pt>
                <c:pt idx="69">
                  <c:v>71</c:v>
                </c:pt>
                <c:pt idx="70">
                  <c:v>56</c:v>
                </c:pt>
                <c:pt idx="71">
                  <c:v>56</c:v>
                </c:pt>
                <c:pt idx="72">
                  <c:v>68</c:v>
                </c:pt>
                <c:pt idx="73">
                  <c:v>79</c:v>
                </c:pt>
                <c:pt idx="74">
                  <c:v>75</c:v>
                </c:pt>
                <c:pt idx="75">
                  <c:v>79</c:v>
                </c:pt>
                <c:pt idx="76">
                  <c:v>78</c:v>
                </c:pt>
                <c:pt idx="77">
                  <c:v>79</c:v>
                </c:pt>
                <c:pt idx="78">
                  <c:v>70</c:v>
                </c:pt>
                <c:pt idx="79">
                  <c:v>69</c:v>
                </c:pt>
                <c:pt idx="80">
                  <c:v>65</c:v>
                </c:pt>
                <c:pt idx="81">
                  <c:v>59</c:v>
                </c:pt>
                <c:pt idx="82">
                  <c:v>61</c:v>
                </c:pt>
                <c:pt idx="83">
                  <c:v>74</c:v>
                </c:pt>
                <c:pt idx="84">
                  <c:v>77</c:v>
                </c:pt>
                <c:pt idx="85">
                  <c:v>76</c:v>
                </c:pt>
                <c:pt idx="86">
                  <c:v>75</c:v>
                </c:pt>
                <c:pt idx="87">
                  <c:v>82</c:v>
                </c:pt>
                <c:pt idx="88">
                  <c:v>84</c:v>
                </c:pt>
                <c:pt idx="89">
                  <c:v>83</c:v>
                </c:pt>
                <c:pt idx="90">
                  <c:v>81</c:v>
                </c:pt>
                <c:pt idx="91">
                  <c:v>82</c:v>
                </c:pt>
                <c:pt idx="92">
                  <c:v>86</c:v>
                </c:pt>
                <c:pt idx="93">
                  <c:v>85</c:v>
                </c:pt>
                <c:pt idx="94">
                  <c:v>86</c:v>
                </c:pt>
                <c:pt idx="95">
                  <c:v>82</c:v>
                </c:pt>
                <c:pt idx="96">
                  <c:v>81</c:v>
                </c:pt>
                <c:pt idx="97">
                  <c:v>84</c:v>
                </c:pt>
                <c:pt idx="98">
                  <c:v>77</c:v>
                </c:pt>
                <c:pt idx="99">
                  <c:v>85</c:v>
                </c:pt>
                <c:pt idx="100">
                  <c:v>84</c:v>
                </c:pt>
                <c:pt idx="101">
                  <c:v>87</c:v>
                </c:pt>
                <c:pt idx="102">
                  <c:v>91</c:v>
                </c:pt>
              </c:numCache>
            </c:numRef>
          </c:xVal>
          <c:yVal>
            <c:numRef>
              <c:f>Runs!$D$2:$D$104</c:f>
              <c:numCache>
                <c:formatCode>m:ss</c:formatCode>
                <c:ptCount val="103"/>
                <c:pt idx="0">
                  <c:v>7.0486111111111114E-3</c:v>
                </c:pt>
                <c:pt idx="1">
                  <c:v>5.8564814814814816E-3</c:v>
                </c:pt>
                <c:pt idx="2">
                  <c:v>6.4004629629629628E-3</c:v>
                </c:pt>
                <c:pt idx="3">
                  <c:v>5.9953703703703714E-3</c:v>
                </c:pt>
                <c:pt idx="4">
                  <c:v>6.3657407407407404E-3</c:v>
                </c:pt>
                <c:pt idx="5">
                  <c:v>6.5972222222222222E-3</c:v>
                </c:pt>
                <c:pt idx="6">
                  <c:v>7.1064814814814819E-3</c:v>
                </c:pt>
                <c:pt idx="7">
                  <c:v>5.8564814814814816E-3</c:v>
                </c:pt>
                <c:pt idx="8">
                  <c:v>6.3425925925925924E-3</c:v>
                </c:pt>
                <c:pt idx="9">
                  <c:v>5.324074074074074E-3</c:v>
                </c:pt>
                <c:pt idx="10">
                  <c:v>6.2037037037037026E-3</c:v>
                </c:pt>
                <c:pt idx="11">
                  <c:v>6.4930555555555557E-3</c:v>
                </c:pt>
                <c:pt idx="12">
                  <c:v>5.6249999999999998E-3</c:v>
                </c:pt>
                <c:pt idx="13">
                  <c:v>5.6712962962962967E-3</c:v>
                </c:pt>
                <c:pt idx="14">
                  <c:v>5.347222222222222E-3</c:v>
                </c:pt>
                <c:pt idx="15">
                  <c:v>6.1342592592592586E-3</c:v>
                </c:pt>
                <c:pt idx="16">
                  <c:v>6.6319444444444446E-3</c:v>
                </c:pt>
                <c:pt idx="17">
                  <c:v>5.9143518518518521E-3</c:v>
                </c:pt>
                <c:pt idx="18">
                  <c:v>5.8796296296296296E-3</c:v>
                </c:pt>
                <c:pt idx="19">
                  <c:v>6.3310185185185188E-3</c:v>
                </c:pt>
                <c:pt idx="20">
                  <c:v>6.1805555555555546E-3</c:v>
                </c:pt>
                <c:pt idx="21">
                  <c:v>6.0185185185185194E-3</c:v>
                </c:pt>
                <c:pt idx="22">
                  <c:v>6.2500000000000003E-3</c:v>
                </c:pt>
                <c:pt idx="23">
                  <c:v>6.2152777777777779E-3</c:v>
                </c:pt>
                <c:pt idx="24">
                  <c:v>6.0069444444444441E-3</c:v>
                </c:pt>
                <c:pt idx="25">
                  <c:v>6.3194444444444444E-3</c:v>
                </c:pt>
                <c:pt idx="26">
                  <c:v>6.1111111111111114E-3</c:v>
                </c:pt>
                <c:pt idx="27">
                  <c:v>6.6435185185185182E-3</c:v>
                </c:pt>
                <c:pt idx="28">
                  <c:v>6.4467592592592588E-3</c:v>
                </c:pt>
                <c:pt idx="29">
                  <c:v>6.7476851851851864E-3</c:v>
                </c:pt>
                <c:pt idx="30">
                  <c:v>6.0416666666666674E-3</c:v>
                </c:pt>
                <c:pt idx="31">
                  <c:v>6.0416666666666674E-3</c:v>
                </c:pt>
                <c:pt idx="32">
                  <c:v>6.5046296296296293E-3</c:v>
                </c:pt>
                <c:pt idx="33">
                  <c:v>6.7013888888888887E-3</c:v>
                </c:pt>
                <c:pt idx="34">
                  <c:v>5.9490740740740754E-3</c:v>
                </c:pt>
                <c:pt idx="35">
                  <c:v>6.030092592592593E-3</c:v>
                </c:pt>
                <c:pt idx="36">
                  <c:v>5.8217592592592592E-3</c:v>
                </c:pt>
                <c:pt idx="37">
                  <c:v>9.4675925925925934E-3</c:v>
                </c:pt>
                <c:pt idx="38">
                  <c:v>6.5624999999999998E-3</c:v>
                </c:pt>
                <c:pt idx="39">
                  <c:v>6.4351851851851853E-3</c:v>
                </c:pt>
                <c:pt idx="40">
                  <c:v>6.053240740740741E-3</c:v>
                </c:pt>
                <c:pt idx="41">
                  <c:v>6.2962962962962964E-3</c:v>
                </c:pt>
                <c:pt idx="42">
                  <c:v>6.0879629629629634E-3</c:v>
                </c:pt>
                <c:pt idx="43">
                  <c:v>6.8055555555555551E-3</c:v>
                </c:pt>
                <c:pt idx="44">
                  <c:v>6.0185185185185194E-3</c:v>
                </c:pt>
                <c:pt idx="45">
                  <c:v>6.1574074074074066E-3</c:v>
                </c:pt>
                <c:pt idx="46">
                  <c:v>6.0648148148148154E-3</c:v>
                </c:pt>
                <c:pt idx="47">
                  <c:v>6.2847222222222219E-3</c:v>
                </c:pt>
                <c:pt idx="48">
                  <c:v>5.6944444444444447E-3</c:v>
                </c:pt>
                <c:pt idx="49">
                  <c:v>6.3194444444444444E-3</c:v>
                </c:pt>
                <c:pt idx="50">
                  <c:v>6.5046296296296293E-3</c:v>
                </c:pt>
                <c:pt idx="51">
                  <c:v>6.2847222222222219E-3</c:v>
                </c:pt>
                <c:pt idx="52">
                  <c:v>5.4861111111111109E-3</c:v>
                </c:pt>
                <c:pt idx="53">
                  <c:v>6.2500000000000003E-3</c:v>
                </c:pt>
                <c:pt idx="54">
                  <c:v>6.4930555555555557E-3</c:v>
                </c:pt>
                <c:pt idx="55">
                  <c:v>7.4652777777777781E-3</c:v>
                </c:pt>
                <c:pt idx="56">
                  <c:v>5.9722222222222234E-3</c:v>
                </c:pt>
                <c:pt idx="57">
                  <c:v>5.8333333333333336E-3</c:v>
                </c:pt>
                <c:pt idx="58">
                  <c:v>8.0208333333333329E-3</c:v>
                </c:pt>
                <c:pt idx="59">
                  <c:v>5.9722222222222234E-3</c:v>
                </c:pt>
                <c:pt idx="60">
                  <c:v>6.122685185185185E-3</c:v>
                </c:pt>
                <c:pt idx="61">
                  <c:v>6.2731481481481484E-3</c:v>
                </c:pt>
                <c:pt idx="62">
                  <c:v>6.3425925925925924E-3</c:v>
                </c:pt>
                <c:pt idx="63">
                  <c:v>6.3078703703703708E-3</c:v>
                </c:pt>
                <c:pt idx="64">
                  <c:v>6.6203703703703702E-3</c:v>
                </c:pt>
                <c:pt idx="65">
                  <c:v>6.6898148148148151E-3</c:v>
                </c:pt>
                <c:pt idx="66">
                  <c:v>6.4004629629629628E-3</c:v>
                </c:pt>
                <c:pt idx="67">
                  <c:v>5.9259259259259256E-3</c:v>
                </c:pt>
                <c:pt idx="68">
                  <c:v>6.4699074074074077E-3</c:v>
                </c:pt>
                <c:pt idx="69">
                  <c:v>6.0416666666666674E-3</c:v>
                </c:pt>
                <c:pt idx="70">
                  <c:v>5.9375000000000001E-3</c:v>
                </c:pt>
                <c:pt idx="71">
                  <c:v>6.1342592592592586E-3</c:v>
                </c:pt>
                <c:pt idx="72">
                  <c:v>6.3541666666666668E-3</c:v>
                </c:pt>
                <c:pt idx="73">
                  <c:v>6.1111111111111114E-3</c:v>
                </c:pt>
                <c:pt idx="74">
                  <c:v>7.3842592592592597E-3</c:v>
                </c:pt>
                <c:pt idx="75">
                  <c:v>6.1805555555555546E-3</c:v>
                </c:pt>
                <c:pt idx="76">
                  <c:v>6.8171296296296296E-3</c:v>
                </c:pt>
                <c:pt idx="77">
                  <c:v>6.145833333333333E-3</c:v>
                </c:pt>
                <c:pt idx="78">
                  <c:v>6.7824074074074071E-3</c:v>
                </c:pt>
                <c:pt idx="79">
                  <c:v>6.0185185185185194E-3</c:v>
                </c:pt>
                <c:pt idx="80">
                  <c:v>5.6481481481481478E-3</c:v>
                </c:pt>
                <c:pt idx="81">
                  <c:v>6.2731481481481484E-3</c:v>
                </c:pt>
                <c:pt idx="82">
                  <c:v>6.4814814814814813E-3</c:v>
                </c:pt>
                <c:pt idx="83">
                  <c:v>5.9027777777777776E-3</c:v>
                </c:pt>
                <c:pt idx="84">
                  <c:v>5.8912037037037041E-3</c:v>
                </c:pt>
                <c:pt idx="85">
                  <c:v>6.7013888888888887E-3</c:v>
                </c:pt>
                <c:pt idx="86">
                  <c:v>6.145833333333333E-3</c:v>
                </c:pt>
                <c:pt idx="87">
                  <c:v>7.6736111111111111E-3</c:v>
                </c:pt>
                <c:pt idx="88">
                  <c:v>7.766203703703704E-3</c:v>
                </c:pt>
                <c:pt idx="89">
                  <c:v>6.5740740740740742E-3</c:v>
                </c:pt>
                <c:pt idx="90">
                  <c:v>6.7361111111111111E-3</c:v>
                </c:pt>
                <c:pt idx="91">
                  <c:v>7.060185185185185E-3</c:v>
                </c:pt>
                <c:pt idx="92">
                  <c:v>6.3888888888888893E-3</c:v>
                </c:pt>
                <c:pt idx="93">
                  <c:v>6.4930555555555557E-3</c:v>
                </c:pt>
                <c:pt idx="94">
                  <c:v>6.2615740740740739E-3</c:v>
                </c:pt>
                <c:pt idx="95">
                  <c:v>6.9560185185185176E-3</c:v>
                </c:pt>
                <c:pt idx="96">
                  <c:v>6.1689814814814819E-3</c:v>
                </c:pt>
                <c:pt idx="97">
                  <c:v>5.9837962962962961E-3</c:v>
                </c:pt>
                <c:pt idx="98">
                  <c:v>6.0185185185185194E-3</c:v>
                </c:pt>
                <c:pt idx="99">
                  <c:v>5.9953703703703714E-3</c:v>
                </c:pt>
                <c:pt idx="100">
                  <c:v>6.3194444444444444E-3</c:v>
                </c:pt>
                <c:pt idx="101">
                  <c:v>5.7986111111111112E-3</c:v>
                </c:pt>
                <c:pt idx="102">
                  <c:v>5.5092592592592589E-3</c:v>
                </c:pt>
              </c:numCache>
            </c:numRef>
          </c:yVal>
          <c:smooth val="0"/>
          <c:extLst>
            <c:ext xmlns:c16="http://schemas.microsoft.com/office/drawing/2014/chart" uri="{C3380CC4-5D6E-409C-BE32-E72D297353CC}">
              <c16:uniqueId val="{00000001-964A-44DA-8E6A-3F49BC0D6A47}"/>
            </c:ext>
          </c:extLst>
        </c:ser>
        <c:dLbls>
          <c:showLegendKey val="0"/>
          <c:showVal val="0"/>
          <c:showCatName val="0"/>
          <c:showSerName val="0"/>
          <c:showPercent val="0"/>
          <c:showBubbleSize val="0"/>
        </c:dLbls>
        <c:axId val="1302527359"/>
        <c:axId val="1302511999"/>
      </c:scatterChart>
      <c:valAx>
        <c:axId val="130252735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Temperature (°F)</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quot;°F&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511999"/>
        <c:crosses val="max"/>
        <c:crossBetween val="midCat"/>
      </c:valAx>
      <c:valAx>
        <c:axId val="1302511999"/>
        <c:scaling>
          <c:orientation val="maxMin"/>
          <c:max val="8.0000000000000019E-3"/>
          <c:min val="4.5000000000000014E-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Pace (min/mile)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ss"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5273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3</xdr:row>
      <xdr:rowOff>0</xdr:rowOff>
    </xdr:from>
    <xdr:to>
      <xdr:col>9</xdr:col>
      <xdr:colOff>0</xdr:colOff>
      <xdr:row>18</xdr:row>
      <xdr:rowOff>0</xdr:rowOff>
    </xdr:to>
    <xdr:graphicFrame macro="">
      <xdr:nvGraphicFramePr>
        <xdr:cNvPr id="2" name="Chart 1">
          <a:extLst>
            <a:ext uri="{FF2B5EF4-FFF2-40B4-BE49-F238E27FC236}">
              <a16:creationId xmlns:a16="http://schemas.microsoft.com/office/drawing/2014/main" id="{29846DA0-E754-45B9-8F8D-E2A9410763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3</xdr:row>
      <xdr:rowOff>0</xdr:rowOff>
    </xdr:from>
    <xdr:to>
      <xdr:col>17</xdr:col>
      <xdr:colOff>609599</xdr:colOff>
      <xdr:row>17</xdr:row>
      <xdr:rowOff>190499</xdr:rowOff>
    </xdr:to>
    <xdr:graphicFrame macro="">
      <xdr:nvGraphicFramePr>
        <xdr:cNvPr id="3" name="Chart 2">
          <a:extLst>
            <a:ext uri="{FF2B5EF4-FFF2-40B4-BE49-F238E27FC236}">
              <a16:creationId xmlns:a16="http://schemas.microsoft.com/office/drawing/2014/main" id="{966B9E21-D559-4082-893B-97BA8DF5E3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20</xdr:row>
      <xdr:rowOff>0</xdr:rowOff>
    </xdr:from>
    <xdr:to>
      <xdr:col>9</xdr:col>
      <xdr:colOff>0</xdr:colOff>
      <xdr:row>36</xdr:row>
      <xdr:rowOff>0</xdr:rowOff>
    </xdr:to>
    <xdr:graphicFrame macro="">
      <xdr:nvGraphicFramePr>
        <xdr:cNvPr id="4" name="Chart 3">
          <a:extLst>
            <a:ext uri="{FF2B5EF4-FFF2-40B4-BE49-F238E27FC236}">
              <a16:creationId xmlns:a16="http://schemas.microsoft.com/office/drawing/2014/main" id="{FE2F94DC-8E74-422D-BA2F-ECB5839C4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20</xdr:row>
      <xdr:rowOff>0</xdr:rowOff>
    </xdr:from>
    <xdr:to>
      <xdr:col>18</xdr:col>
      <xdr:colOff>0</xdr:colOff>
      <xdr:row>36</xdr:row>
      <xdr:rowOff>0</xdr:rowOff>
    </xdr:to>
    <xdr:graphicFrame macro="">
      <xdr:nvGraphicFramePr>
        <xdr:cNvPr id="5" name="Chart 4">
          <a:extLst>
            <a:ext uri="{FF2B5EF4-FFF2-40B4-BE49-F238E27FC236}">
              <a16:creationId xmlns:a16="http://schemas.microsoft.com/office/drawing/2014/main" id="{B4A015EC-7C4C-4603-9E62-D7A9D83016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19</xdr:col>
      <xdr:colOff>0</xdr:colOff>
      <xdr:row>20</xdr:row>
      <xdr:rowOff>0</xdr:rowOff>
    </xdr:from>
    <xdr:to>
      <xdr:col>22</xdr:col>
      <xdr:colOff>0</xdr:colOff>
      <xdr:row>30</xdr:row>
      <xdr:rowOff>0</xdr:rowOff>
    </xdr:to>
    <mc:AlternateContent xmlns:mc="http://schemas.openxmlformats.org/markup-compatibility/2006" xmlns:sle15="http://schemas.microsoft.com/office/drawing/2012/slicer">
      <mc:Choice Requires="sle15">
        <xdr:graphicFrame macro="">
          <xdr:nvGraphicFramePr>
            <xdr:cNvPr id="6" name="Weather Condition">
              <a:extLst>
                <a:ext uri="{FF2B5EF4-FFF2-40B4-BE49-F238E27FC236}">
                  <a16:creationId xmlns:a16="http://schemas.microsoft.com/office/drawing/2014/main" id="{532C29DB-0688-4234-8548-D2737CAC22B9}"/>
                </a:ext>
              </a:extLst>
            </xdr:cNvPr>
            <xdr:cNvGraphicFramePr/>
          </xdr:nvGraphicFramePr>
          <xdr:xfrm>
            <a:off x="0" y="0"/>
            <a:ext cx="0" cy="0"/>
          </xdr:xfrm>
          <a:graphic>
            <a:graphicData uri="http://schemas.microsoft.com/office/drawing/2010/slicer">
              <sle:slicer xmlns:sle="http://schemas.microsoft.com/office/drawing/2010/slicer" name="Weather Condition"/>
            </a:graphicData>
          </a:graphic>
        </xdr:graphicFrame>
      </mc:Choice>
      <mc:Fallback xmlns="">
        <xdr:sp macro="" textlink="">
          <xdr:nvSpPr>
            <xdr:cNvPr id="0" name=""/>
            <xdr:cNvSpPr>
              <a:spLocks noTextEdit="1"/>
            </xdr:cNvSpPr>
          </xdr:nvSpPr>
          <xdr:spPr>
            <a:xfrm>
              <a:off x="11582400" y="3810000"/>
              <a:ext cx="1828800" cy="19050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19</xdr:col>
      <xdr:colOff>0</xdr:colOff>
      <xdr:row>3</xdr:row>
      <xdr:rowOff>0</xdr:rowOff>
    </xdr:from>
    <xdr:to>
      <xdr:col>29</xdr:col>
      <xdr:colOff>0</xdr:colOff>
      <xdr:row>10</xdr:row>
      <xdr:rowOff>0</xdr:rowOff>
    </xdr:to>
    <mc:AlternateContent xmlns:mc="http://schemas.openxmlformats.org/markup-compatibility/2006" xmlns:tsle="http://schemas.microsoft.com/office/drawing/2012/timeslicer">
      <mc:Choice Requires="tsle">
        <xdr:graphicFrame macro="">
          <xdr:nvGraphicFramePr>
            <xdr:cNvPr id="9" name="Date">
              <a:extLst>
                <a:ext uri="{FF2B5EF4-FFF2-40B4-BE49-F238E27FC236}">
                  <a16:creationId xmlns:a16="http://schemas.microsoft.com/office/drawing/2014/main" id="{9D212DC9-15B3-4A65-923B-55020100C43D}"/>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1582400" y="571500"/>
              <a:ext cx="6096000" cy="13335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4</xdr:col>
      <xdr:colOff>304799</xdr:colOff>
      <xdr:row>0</xdr:row>
      <xdr:rowOff>19050</xdr:rowOff>
    </xdr:from>
    <xdr:to>
      <xdr:col>14</xdr:col>
      <xdr:colOff>123824</xdr:colOff>
      <xdr:row>2</xdr:row>
      <xdr:rowOff>38100</xdr:rowOff>
    </xdr:to>
    <xdr:sp macro="" textlink="">
      <xdr:nvSpPr>
        <xdr:cNvPr id="10" name="TextBox 9">
          <a:extLst>
            <a:ext uri="{FF2B5EF4-FFF2-40B4-BE49-F238E27FC236}">
              <a16:creationId xmlns:a16="http://schemas.microsoft.com/office/drawing/2014/main" id="{07724EF8-6E9A-4816-E224-CEAF1408A5CD}"/>
            </a:ext>
          </a:extLst>
        </xdr:cNvPr>
        <xdr:cNvSpPr txBox="1"/>
      </xdr:nvSpPr>
      <xdr:spPr>
        <a:xfrm>
          <a:off x="2743199" y="19050"/>
          <a:ext cx="5915025" cy="4000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400" b="1"/>
            <a:t>Running Performance Dashboard</a:t>
          </a:r>
        </a:p>
      </xdr:txBody>
    </xdr:sp>
    <xdr:clientData/>
  </xdr:twoCellAnchor>
  <xdr:twoCellAnchor>
    <xdr:from>
      <xdr:col>18</xdr:col>
      <xdr:colOff>552450</xdr:colOff>
      <xdr:row>1</xdr:row>
      <xdr:rowOff>85725</xdr:rowOff>
    </xdr:from>
    <xdr:to>
      <xdr:col>24</xdr:col>
      <xdr:colOff>333375</xdr:colOff>
      <xdr:row>2</xdr:row>
      <xdr:rowOff>114300</xdr:rowOff>
    </xdr:to>
    <xdr:sp macro="" textlink="">
      <xdr:nvSpPr>
        <xdr:cNvPr id="11" name="TextBox 10">
          <a:extLst>
            <a:ext uri="{FF2B5EF4-FFF2-40B4-BE49-F238E27FC236}">
              <a16:creationId xmlns:a16="http://schemas.microsoft.com/office/drawing/2014/main" id="{D77897BE-0E0A-0D12-BE67-D7FD167376B1}"/>
            </a:ext>
          </a:extLst>
        </xdr:cNvPr>
        <xdr:cNvSpPr txBox="1"/>
      </xdr:nvSpPr>
      <xdr:spPr>
        <a:xfrm>
          <a:off x="11525250" y="276225"/>
          <a:ext cx="3438525" cy="2190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Monthly Chart Date Filter</a:t>
          </a:r>
        </a:p>
        <a:p>
          <a:endParaRPr lang="en-US" sz="1100" b="1"/>
        </a:p>
      </xdr:txBody>
    </xdr:sp>
    <xdr:clientData/>
  </xdr:twoCellAnchor>
  <xdr:twoCellAnchor>
    <xdr:from>
      <xdr:col>18</xdr:col>
      <xdr:colOff>542925</xdr:colOff>
      <xdr:row>18</xdr:row>
      <xdr:rowOff>66675</xdr:rowOff>
    </xdr:from>
    <xdr:to>
      <xdr:col>22</xdr:col>
      <xdr:colOff>38100</xdr:colOff>
      <xdr:row>19</xdr:row>
      <xdr:rowOff>133350</xdr:rowOff>
    </xdr:to>
    <xdr:sp macro="" textlink="">
      <xdr:nvSpPr>
        <xdr:cNvPr id="12" name="TextBox 11">
          <a:extLst>
            <a:ext uri="{FF2B5EF4-FFF2-40B4-BE49-F238E27FC236}">
              <a16:creationId xmlns:a16="http://schemas.microsoft.com/office/drawing/2014/main" id="{9FE90FBF-13D5-CEFC-9E85-5CBEF5F4B9D0}"/>
            </a:ext>
          </a:extLst>
        </xdr:cNvPr>
        <xdr:cNvSpPr txBox="1"/>
      </xdr:nvSpPr>
      <xdr:spPr>
        <a:xfrm>
          <a:off x="11515725" y="3495675"/>
          <a:ext cx="1933575" cy="2571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Scatter Chart Weather Filter</a:t>
          </a:r>
        </a:p>
        <a:p>
          <a:endParaRPr lang="en-US" sz="11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steck" refreshedDate="46223.662595254631" createdVersion="8" refreshedVersion="8" minRefreshableVersion="3" recordCount="103" xr:uid="{4160B425-2983-4AE0-973C-3B388C2C868D}">
  <cacheSource type="worksheet">
    <worksheetSource name="RunLog"/>
  </cacheSource>
  <cacheFields count="9">
    <cacheField name="Date" numFmtId="164">
      <sharedItems containsSemiMixedTypes="0" containsNonDate="0" containsDate="1" containsString="0" minDate="2025-08-24T00:00:00" maxDate="2026-07-12T00:00:00" count="102">
        <d v="2026-07-11T00:00:00"/>
        <d v="2026-07-10T00:00:00"/>
        <d v="2026-07-09T00:00:00"/>
        <d v="2026-07-08T00:00:00"/>
        <d v="2026-07-07T00:00:00"/>
        <d v="2026-07-01T00:00:00"/>
        <d v="2026-06-30T00:00:00"/>
        <d v="2026-06-29T00:00:00"/>
        <d v="2026-06-26T00:00:00"/>
        <d v="2026-06-25T00:00:00"/>
        <d v="2026-06-24T00:00:00"/>
        <d v="2026-06-23T00:00:00"/>
        <d v="2026-06-21T00:00:00"/>
        <d v="2026-06-20T00:00:00"/>
        <d v="2026-06-19T00:00:00"/>
        <d v="2026-06-18T00:00:00"/>
        <d v="2026-06-10T00:00:00"/>
        <d v="2026-06-09T00:00:00"/>
        <d v="2026-06-08T00:00:00"/>
        <d v="2026-06-04T00:00:00"/>
        <d v="2026-06-03T00:00:00"/>
        <d v="2026-05-28T00:00:00"/>
        <d v="2026-05-27T00:00:00"/>
        <d v="2026-05-24T00:00:00"/>
        <d v="2026-05-19T00:00:00"/>
        <d v="2026-05-18T00:00:00"/>
        <d v="2026-05-17T00:00:00"/>
        <d v="2026-05-06T00:00:00"/>
        <d v="2026-05-05T00:00:00"/>
        <d v="2026-04-29T00:00:00"/>
        <d v="2026-04-28T00:00:00"/>
        <d v="2026-04-27T00:00:00"/>
        <d v="2026-04-24T00:00:00"/>
        <d v="2026-04-23T00:00:00"/>
        <d v="2026-04-22T00:00:00"/>
        <d v="2026-04-21T00:00:00"/>
        <d v="2026-04-16T00:00:00"/>
        <d v="2026-04-15T00:00:00"/>
        <d v="2026-04-11T00:00:00"/>
        <d v="2026-04-08T00:00:00"/>
        <d v="2026-04-01T00:00:00"/>
        <d v="2026-03-31T00:00:00"/>
        <d v="2026-03-27T00:00:00"/>
        <d v="2026-03-26T00:00:00"/>
        <d v="2026-03-23T00:00:00"/>
        <d v="2026-03-20T00:00:00"/>
        <d v="2026-03-17T00:00:00"/>
        <d v="2026-03-13T00:00:00"/>
        <d v="2026-03-11T00:00:00"/>
        <d v="2026-03-09T00:00:00"/>
        <d v="2026-03-07T00:00:00"/>
        <d v="2026-03-06T00:00:00"/>
        <d v="2026-03-04T00:00:00"/>
        <d v="2026-03-02T00:00:00"/>
        <d v="2026-02-28T00:00:00"/>
        <d v="2026-02-26T00:00:00"/>
        <d v="2026-02-24T00:00:00"/>
        <d v="2026-02-06T00:00:00"/>
        <d v="2026-01-30T00:00:00"/>
        <d v="2026-01-28T00:00:00"/>
        <d v="2026-01-27T00:00:00"/>
        <d v="2026-01-22T00:00:00"/>
        <d v="2026-01-21T00:00:00"/>
        <d v="2026-01-19T00:00:00"/>
        <d v="2026-01-14T00:00:00"/>
        <d v="2025-12-17T00:00:00"/>
        <d v="2025-12-16T00:00:00"/>
        <d v="2025-12-11T00:00:00"/>
        <d v="2025-12-10T00:00:00"/>
        <d v="2025-12-08T00:00:00"/>
        <d v="2025-11-28T00:00:00"/>
        <d v="2025-11-26T00:00:00"/>
        <d v="2025-11-25T00:00:00"/>
        <d v="2025-11-23T00:00:00"/>
        <d v="2025-11-20T00:00:00"/>
        <d v="2025-11-19T00:00:00"/>
        <d v="2025-11-17T00:00:00"/>
        <d v="2025-11-12T00:00:00"/>
        <d v="2025-11-04T00:00:00"/>
        <d v="2025-11-03T00:00:00"/>
        <d v="2025-10-30T00:00:00"/>
        <d v="2025-10-29T00:00:00"/>
        <d v="2025-10-27T00:00:00"/>
        <d v="2025-10-23T00:00:00"/>
        <d v="2025-10-22T00:00:00"/>
        <d v="2025-10-20T00:00:00"/>
        <d v="2025-10-17T00:00:00"/>
        <d v="2025-10-15T00:00:00"/>
        <d v="2025-10-14T00:00:00"/>
        <d v="2025-10-13T00:00:00"/>
        <d v="2025-09-23T00:00:00"/>
        <d v="2025-09-18T00:00:00"/>
        <d v="2025-09-17T00:00:00"/>
        <d v="2025-09-11T00:00:00"/>
        <d v="2025-09-10T00:00:00"/>
        <d v="2025-09-09T00:00:00"/>
        <d v="2025-09-01T00:00:00"/>
        <d v="2025-08-29T00:00:00"/>
        <d v="2025-08-28T00:00:00"/>
        <d v="2025-08-27T00:00:00"/>
        <d v="2025-08-25T00:00:00"/>
        <d v="2025-08-24T00:00:00"/>
      </sharedItems>
    </cacheField>
    <cacheField name="Start Time" numFmtId="0">
      <sharedItems/>
    </cacheField>
    <cacheField name="Distance" numFmtId="166">
      <sharedItems containsSemiMixedTypes="0" containsString="0" containsNumber="1" minValue="1.23" maxValue="5.64"/>
    </cacheField>
    <cacheField name="Pace" numFmtId="167">
      <sharedItems containsSemiMixedTypes="0" containsNonDate="0" containsDate="1" containsString="0" minDate="1899-12-30T00:07:40" maxDate="1899-12-30T00:13:38"/>
    </cacheField>
    <cacheField name="Time" numFmtId="46">
      <sharedItems containsSemiMixedTypes="0" containsNonDate="0" containsDate="1" containsString="0" minDate="1899-12-30T00:11:38" maxDate="1899-12-30T01:16:54"/>
    </cacheField>
    <cacheField name="Weather" numFmtId="0">
      <sharedItems/>
    </cacheField>
    <cacheField name="Month Start" numFmtId="168">
      <sharedItems containsSemiMixedTypes="0" containsNonDate="0" containsDate="1" containsString="0" minDate="2025-08-01T00:00:00" maxDate="2026-07-02T00:00:00" count="12">
        <d v="2026-07-01T00:00:00"/>
        <d v="2026-06-01T00:00:00"/>
        <d v="2026-05-01T00:00:00"/>
        <d v="2026-04-01T00:00:00"/>
        <d v="2026-03-01T00:00:00"/>
        <d v="2026-02-01T00:00:00"/>
        <d v="2026-01-01T00:00:00"/>
        <d v="2025-12-01T00:00:00"/>
        <d v="2025-11-01T00:00:00"/>
        <d v="2025-10-01T00:00:00"/>
        <d v="2025-09-01T00:00:00"/>
        <d v="2025-08-01T00:00:00"/>
      </sharedItems>
    </cacheField>
    <cacheField name="Temperature" numFmtId="169">
      <sharedItems containsSemiMixedTypes="0" containsString="0" containsNumber="1" containsInteger="1" minValue="41" maxValue="91"/>
    </cacheField>
    <cacheField name="Weather Condition" numFmtId="0">
      <sharedItems/>
    </cacheField>
  </cacheFields>
  <extLst>
    <ext xmlns:x14="http://schemas.microsoft.com/office/spreadsheetml/2009/9/main" uri="{725AE2AE-9491-48be-B2B4-4EB974FC3084}">
      <x14:pivotCacheDefinition pivotCacheId="175188914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x v="0"/>
    <s v="12:37 PM"/>
    <n v="4.09"/>
    <d v="1899-12-30T00:10:09"/>
    <d v="1899-12-30T00:41:33"/>
    <s v="91°F Drizzle"/>
    <x v="0"/>
    <n v="91"/>
    <s v="Drizzle"/>
  </r>
  <r>
    <x v="1"/>
    <s v="6:12 PM"/>
    <n v="4.2"/>
    <d v="1899-12-30T00:08:26"/>
    <d v="1899-12-30T00:35:21"/>
    <s v="86°F Cloudy"/>
    <x v="0"/>
    <n v="86"/>
    <s v="Cloudy"/>
  </r>
  <r>
    <x v="2"/>
    <s v="12:59 PM"/>
    <n v="2.4500000000000002"/>
    <d v="1899-12-30T00:09:13"/>
    <d v="1899-12-30T00:22:34"/>
    <s v="88°F Drizzle"/>
    <x v="0"/>
    <n v="88"/>
    <s v="Drizzle"/>
  </r>
  <r>
    <x v="3"/>
    <s v="6:45 PM"/>
    <n v="3.97"/>
    <d v="1899-12-30T00:08:38"/>
    <d v="1899-12-30T00:34:15"/>
    <s v="85°F Drizzle"/>
    <x v="0"/>
    <n v="85"/>
    <s v="Drizzle"/>
  </r>
  <r>
    <x v="4"/>
    <s v="7:15 PM"/>
    <n v="4.21"/>
    <d v="1899-12-30T00:09:10"/>
    <d v="1899-12-30T00:38:34"/>
    <s v="83°F Partly cloudy"/>
    <x v="0"/>
    <n v="83"/>
    <s v="Partly cloudy"/>
  </r>
  <r>
    <x v="5"/>
    <s v="6:42 PM"/>
    <n v="4.38"/>
    <d v="1899-12-30T00:09:30"/>
    <d v="1899-12-30T00:41:35"/>
    <s v="85°F Drizzle"/>
    <x v="0"/>
    <n v="85"/>
    <s v="Drizzle"/>
  </r>
  <r>
    <x v="6"/>
    <s v="12:34 PM"/>
    <n v="2.57"/>
    <d v="1899-12-30T00:10:14"/>
    <d v="1899-12-30T00:26:18"/>
    <s v="89°F Partly cloudy"/>
    <x v="1"/>
    <n v="89"/>
    <s v="Partly cloudy"/>
  </r>
  <r>
    <x v="7"/>
    <s v="6:30 PM"/>
    <n v="4.1900000000000004"/>
    <d v="1899-12-30T00:08:26"/>
    <d v="1899-12-30T00:35:20"/>
    <s v="89°F Drizzle"/>
    <x v="1"/>
    <n v="89"/>
    <s v="Drizzle"/>
  </r>
  <r>
    <x v="8"/>
    <s v="7:30 PM"/>
    <n v="4.29"/>
    <d v="1899-12-30T00:09:08"/>
    <d v="1899-12-30T00:39:07"/>
    <s v="87°F Clear"/>
    <x v="1"/>
    <n v="87"/>
    <s v="Clear"/>
  </r>
  <r>
    <x v="9"/>
    <s v="7:26 PM"/>
    <n v="1.58"/>
    <d v="1899-12-30T00:07:40"/>
    <d v="1899-12-30T00:12:08"/>
    <s v="85°F Drizzle"/>
    <x v="1"/>
    <n v="85"/>
    <s v="Drizzle"/>
  </r>
  <r>
    <x v="10"/>
    <s v="5:14 PM"/>
    <n v="4.05"/>
    <d v="1899-12-30T00:08:56"/>
    <d v="1899-12-30T00:36:13"/>
    <s v="88°F Partly cloudy"/>
    <x v="1"/>
    <n v="88"/>
    <s v="Partly cloudy"/>
  </r>
  <r>
    <x v="11"/>
    <s v="7:16 PM"/>
    <n v="2.98"/>
    <d v="1899-12-30T00:09:21"/>
    <d v="1899-12-30T00:27:48"/>
    <s v="89°F Partly cloudy"/>
    <x v="1"/>
    <n v="89"/>
    <s v="Partly cloudy"/>
  </r>
  <r>
    <x v="12"/>
    <s v="5:23 PM"/>
    <n v="2.63"/>
    <d v="1899-12-30T00:08:06"/>
    <d v="1899-12-30T00:21:15"/>
    <s v="86°F Drizzle"/>
    <x v="1"/>
    <n v="86"/>
    <s v="Drizzle"/>
  </r>
  <r>
    <x v="13"/>
    <s v="3:05 PM"/>
    <n v="2.9"/>
    <d v="1899-12-30T00:08:10"/>
    <d v="1899-12-30T00:23:42"/>
    <s v="77°F Rain"/>
    <x v="1"/>
    <n v="77"/>
    <s v="Rain"/>
  </r>
  <r>
    <x v="14"/>
    <s v="6:59 PM"/>
    <n v="1.53"/>
    <d v="1899-12-30T00:07:42"/>
    <d v="1899-12-30T00:11:45"/>
    <s v="83°F Drizzle"/>
    <x v="1"/>
    <n v="83"/>
    <s v="Drizzle"/>
  </r>
  <r>
    <x v="15"/>
    <s v="7:25 PM"/>
    <n v="2.2599999999999998"/>
    <d v="1899-12-30T00:08:50"/>
    <d v="1899-12-30T00:19:58"/>
    <s v="79°F Rain"/>
    <x v="1"/>
    <n v="79"/>
    <s v="Rain"/>
  </r>
  <r>
    <x v="16"/>
    <s v="6:45 PM"/>
    <n v="2.79"/>
    <d v="1899-12-30T00:09:33"/>
    <d v="1899-12-30T00:26:39"/>
    <s v="84°F Clear"/>
    <x v="1"/>
    <n v="84"/>
    <s v="Clear"/>
  </r>
  <r>
    <x v="17"/>
    <s v="7:03 PM"/>
    <n v="4.42"/>
    <d v="1899-12-30T00:08:31"/>
    <d v="1899-12-30T00:37:42"/>
    <s v="83°F Partly cloudy"/>
    <x v="1"/>
    <n v="83"/>
    <s v="Partly cloudy"/>
  </r>
  <r>
    <x v="18"/>
    <s v="7:13 PM"/>
    <n v="2.97"/>
    <d v="1899-12-30T00:08:28"/>
    <d v="1899-12-30T00:25:09"/>
    <s v="81°F Cloudy"/>
    <x v="1"/>
    <n v="81"/>
    <s v="Cloudy"/>
  </r>
  <r>
    <x v="19"/>
    <s v="5:09 PM"/>
    <n v="2.62"/>
    <d v="1899-12-30T00:09:07"/>
    <d v="1899-12-30T00:23:52"/>
    <s v="80°F Cloudy"/>
    <x v="1"/>
    <n v="80"/>
    <s v="Cloudy"/>
  </r>
  <r>
    <x v="20"/>
    <s v="6:27 PM"/>
    <n v="4.5199999999999996"/>
    <d v="1899-12-30T00:08:54"/>
    <d v="1899-12-30T00:40:11"/>
    <s v="79°F Cloudy"/>
    <x v="1"/>
    <n v="79"/>
    <s v="Cloudy"/>
  </r>
  <r>
    <x v="21"/>
    <s v="7:15 PM"/>
    <n v="4.54"/>
    <d v="1899-12-30T00:08:40"/>
    <d v="1899-12-30T00:39:24"/>
    <s v="81°F Cloudy"/>
    <x v="2"/>
    <n v="81"/>
    <s v="Cloudy"/>
  </r>
  <r>
    <x v="22"/>
    <s v="7:14 PM"/>
    <n v="4.0599999999999996"/>
    <d v="1899-12-30T00:09:00"/>
    <d v="1899-12-30T00:36:34"/>
    <s v="81°F Cloudy"/>
    <x v="2"/>
    <n v="81"/>
    <s v="Cloudy"/>
  </r>
  <r>
    <x v="23"/>
    <s v="2:45 PM"/>
    <n v="4.1399999999999997"/>
    <d v="1899-12-30T00:08:57"/>
    <d v="1899-12-30T00:37:06"/>
    <s v="76°F Rain"/>
    <x v="2"/>
    <n v="76"/>
    <s v="Rain"/>
  </r>
  <r>
    <x v="24"/>
    <s v="7:17 PM"/>
    <n v="2.81"/>
    <d v="1899-12-30T00:08:39"/>
    <d v="1899-12-30T00:24:17"/>
    <s v="80°F Partly cloudy"/>
    <x v="2"/>
    <n v="80"/>
    <s v="Partly cloudy"/>
  </r>
  <r>
    <x v="25"/>
    <s v="7:19 PM"/>
    <n v="4.34"/>
    <d v="1899-12-30T00:09:06"/>
    <d v="1899-12-30T00:39:28"/>
    <s v="81°F Clear"/>
    <x v="2"/>
    <n v="81"/>
    <s v="Clear"/>
  </r>
  <r>
    <x v="26"/>
    <s v="6:35 PM"/>
    <n v="4.46"/>
    <d v="1899-12-30T00:08:48"/>
    <d v="1899-12-30T00:39:12"/>
    <s v="80°F Drizzle"/>
    <x v="2"/>
    <n v="80"/>
    <s v="Drizzle"/>
  </r>
  <r>
    <x v="27"/>
    <s v="7:20 PM"/>
    <n v="4.18"/>
    <d v="1899-12-30T00:09:34"/>
    <d v="1899-12-30T00:40:01"/>
    <s v="78°F Cloudy"/>
    <x v="2"/>
    <n v="78"/>
    <s v="Cloudy"/>
  </r>
  <r>
    <x v="28"/>
    <s v="7:10 PM"/>
    <n v="3.98"/>
    <d v="1899-12-30T00:09:17"/>
    <d v="1899-12-30T00:37:00"/>
    <s v="76°F Cloudy"/>
    <x v="2"/>
    <n v="76"/>
    <s v="Cloudy"/>
  </r>
  <r>
    <x v="29"/>
    <s v="5:03 PM"/>
    <n v="3.97"/>
    <d v="1899-12-30T00:09:43"/>
    <d v="1899-12-30T00:38:32"/>
    <s v="84°F Cloudy"/>
    <x v="3"/>
    <n v="84"/>
    <s v="Cloudy"/>
  </r>
  <r>
    <x v="30"/>
    <s v="6:52 PM"/>
    <n v="2.74"/>
    <d v="1899-12-30T00:08:42"/>
    <d v="1899-12-30T00:23:49"/>
    <s v="80°F Cloudy"/>
    <x v="3"/>
    <n v="80"/>
    <s v="Cloudy"/>
  </r>
  <r>
    <x v="31"/>
    <s v="6:00 PM"/>
    <n v="5.62"/>
    <d v="1899-12-30T00:08:42"/>
    <d v="1899-12-30T00:48:57"/>
    <s v="82°F Clear"/>
    <x v="3"/>
    <n v="82"/>
    <s v="Clear"/>
  </r>
  <r>
    <x v="32"/>
    <s v="7:14 PM"/>
    <n v="1.7"/>
    <d v="1899-12-30T00:09:22"/>
    <d v="1899-12-30T00:15:56"/>
    <s v="76°F Cloudy"/>
    <x v="3"/>
    <n v="76"/>
    <s v="Cloudy"/>
  </r>
  <r>
    <x v="33"/>
    <s v="6:50 PM"/>
    <n v="4.43"/>
    <d v="1899-12-30T00:09:39"/>
    <d v="1899-12-30T00:42:46"/>
    <s v="77°F Partly cloudy"/>
    <x v="3"/>
    <n v="77"/>
    <s v="Partly cloudy"/>
  </r>
  <r>
    <x v="34"/>
    <s v="6:34 PM"/>
    <n v="4.58"/>
    <d v="1899-12-30T00:08:34"/>
    <d v="1899-12-30T00:39:15"/>
    <s v="78°F Partly cloudy"/>
    <x v="3"/>
    <n v="78"/>
    <s v="Partly cloudy"/>
  </r>
  <r>
    <x v="35"/>
    <s v="5:08 PM"/>
    <n v="4.54"/>
    <d v="1899-12-30T00:08:41"/>
    <d v="1899-12-30T00:39:27"/>
    <s v="75°F Cloudy"/>
    <x v="3"/>
    <n v="75"/>
    <s v="Cloudy"/>
  </r>
  <r>
    <x v="36"/>
    <s v="5:17 PM"/>
    <n v="2.99"/>
    <d v="1899-12-30T00:08:23"/>
    <d v="1899-12-30T00:25:06"/>
    <s v="80°F Partly cloudy"/>
    <x v="3"/>
    <n v="80"/>
    <s v="Partly cloudy"/>
  </r>
  <r>
    <x v="37"/>
    <s v="1:27 PM"/>
    <n v="5.64"/>
    <d v="1899-12-30T00:13:38"/>
    <d v="1899-12-30T01:16:54"/>
    <s v="81°F Cloudy"/>
    <x v="3"/>
    <n v="81"/>
    <s v="Cloudy"/>
  </r>
  <r>
    <x v="37"/>
    <s v="1:14 PM"/>
    <n v="1.23"/>
    <d v="1899-12-30T00:09:27"/>
    <d v="1899-12-30T00:11:38"/>
    <s v="81°F Cloudy"/>
    <x v="3"/>
    <n v="81"/>
    <s v="Cloudy"/>
  </r>
  <r>
    <x v="38"/>
    <s v="5:06 PM"/>
    <n v="4.63"/>
    <d v="1899-12-30T00:09:16"/>
    <d v="1899-12-30T00:42:52"/>
    <s v="78°F Clear"/>
    <x v="3"/>
    <n v="78"/>
    <s v="Clear"/>
  </r>
  <r>
    <x v="39"/>
    <s v="6:38 PM"/>
    <n v="4.54"/>
    <d v="1899-12-30T00:08:43"/>
    <d v="1899-12-30T00:39:34"/>
    <s v="71°F Clear"/>
    <x v="3"/>
    <n v="71"/>
    <s v="Clear"/>
  </r>
  <r>
    <x v="40"/>
    <s v="2:55 PM"/>
    <n v="2.81"/>
    <d v="1899-12-30T00:09:04"/>
    <d v="1899-12-30T00:25:29"/>
    <s v="80°F Drizzle"/>
    <x v="3"/>
    <n v="80"/>
    <s v="Drizzle"/>
  </r>
  <r>
    <x v="41"/>
    <s v="6:45 PM"/>
    <n v="4.58"/>
    <d v="1899-12-30T00:08:46"/>
    <d v="1899-12-30T00:40:09"/>
    <s v="75°F Partly cloudy"/>
    <x v="4"/>
    <n v="75"/>
    <s v="Partly cloudy"/>
  </r>
  <r>
    <x v="42"/>
    <s v="4:15 PM"/>
    <n v="4.6100000000000003"/>
    <d v="1899-12-30T00:09:48"/>
    <d v="1899-12-30T00:45:07"/>
    <s v="83°F Partly cloudy"/>
    <x v="4"/>
    <n v="83"/>
    <s v="Partly cloudy"/>
  </r>
  <r>
    <x v="43"/>
    <s v="5:58 PM"/>
    <n v="4.5999999999999996"/>
    <d v="1899-12-30T00:08:40"/>
    <d v="1899-12-30T00:39:50"/>
    <s v="80°F Clear"/>
    <x v="4"/>
    <n v="80"/>
    <s v="Clear"/>
  </r>
  <r>
    <x v="44"/>
    <s v="6:27 PM"/>
    <n v="4.68"/>
    <d v="1899-12-30T00:08:52"/>
    <d v="1899-12-30T00:41:32"/>
    <s v="82°F Clear"/>
    <x v="4"/>
    <n v="82"/>
    <s v="Clear"/>
  </r>
  <r>
    <x v="45"/>
    <s v="6:51 PM"/>
    <n v="4.5599999999999996"/>
    <d v="1899-12-30T00:08:44"/>
    <d v="1899-12-30T00:39:48"/>
    <s v="71°F Clear"/>
    <x v="4"/>
    <n v="71"/>
    <s v="Clear"/>
  </r>
  <r>
    <x v="46"/>
    <s v="5:45 PM"/>
    <n v="4.63"/>
    <d v="1899-12-30T00:09:03"/>
    <d v="1899-12-30T00:41:55"/>
    <s v="53°F Clear"/>
    <x v="4"/>
    <n v="53"/>
    <s v="Clear"/>
  </r>
  <r>
    <x v="47"/>
    <s v="5:56 PM"/>
    <n v="2.94"/>
    <d v="1899-12-30T00:08:12"/>
    <d v="1899-12-30T00:24:03"/>
    <s v="70°F Partly cloudy"/>
    <x v="4"/>
    <n v="70"/>
    <s v="Partly cloudy"/>
  </r>
  <r>
    <x v="48"/>
    <s v="6:07 PM"/>
    <n v="2.99"/>
    <d v="1899-12-30T00:09:06"/>
    <d v="1899-12-30T00:27:12"/>
    <s v="72°F Rain"/>
    <x v="4"/>
    <n v="72"/>
    <s v="Rain"/>
  </r>
  <r>
    <x v="49"/>
    <s v="6:49 PM"/>
    <n v="2.9"/>
    <d v="1899-12-30T00:09:22"/>
    <d v="1899-12-30T00:27:13"/>
    <s v="77°F Cloudy"/>
    <x v="4"/>
    <n v="77"/>
    <s v="Cloudy"/>
  </r>
  <r>
    <x v="50"/>
    <s v="5:59 PM"/>
    <n v="3.01"/>
    <d v="1899-12-30T00:09:03"/>
    <d v="1899-12-30T00:27:14"/>
    <s v="77°F Partly cloudy"/>
    <x v="4"/>
    <n v="77"/>
    <s v="Partly cloudy"/>
  </r>
  <r>
    <x v="51"/>
    <s v="5:43 PM"/>
    <n v="3.05"/>
    <d v="1899-12-30T00:07:54"/>
    <d v="1899-12-30T00:24:03"/>
    <s v="77°F Drizzle"/>
    <x v="4"/>
    <n v="77"/>
    <s v="Drizzle"/>
  </r>
  <r>
    <x v="52"/>
    <s v="5:28 PM"/>
    <n v="4.57"/>
    <d v="1899-12-30T00:09:00"/>
    <d v="1899-12-30T00:41:09"/>
    <s v="77°F Cloudy"/>
    <x v="4"/>
    <n v="77"/>
    <s v="Cloudy"/>
  </r>
  <r>
    <x v="53"/>
    <s v="4:56 PM"/>
    <n v="4.63"/>
    <d v="1899-12-30T00:09:21"/>
    <d v="1899-12-30T00:43:19"/>
    <s v="76°F Clear"/>
    <x v="4"/>
    <n v="76"/>
    <s v="Clear"/>
  </r>
  <r>
    <x v="54"/>
    <s v="1:20 PM"/>
    <n v="3.61"/>
    <d v="1899-12-30T00:10:45"/>
    <d v="1899-12-30T00:38:51"/>
    <s v="71°F Clear"/>
    <x v="5"/>
    <n v="71"/>
    <s v="Clear"/>
  </r>
  <r>
    <x v="55"/>
    <s v="5:48 PM"/>
    <n v="4.6100000000000003"/>
    <d v="1899-12-30T00:08:36"/>
    <d v="1899-12-30T00:39:39"/>
    <s v="75°F Partly cloudy"/>
    <x v="5"/>
    <n v="75"/>
    <s v="Partly cloudy"/>
  </r>
  <r>
    <x v="56"/>
    <s v="5:29 PM"/>
    <n v="4.6100000000000003"/>
    <d v="1899-12-30T00:08:24"/>
    <d v="1899-12-30T00:38:47"/>
    <s v="60°F Clear"/>
    <x v="5"/>
    <n v="60"/>
    <s v="Clear"/>
  </r>
  <r>
    <x v="57"/>
    <s v="6:00 PM"/>
    <n v="4.5199999999999996"/>
    <d v="1899-12-30T00:11:33"/>
    <d v="1899-12-30T00:52:13"/>
    <s v="67°F Clear"/>
    <x v="5"/>
    <n v="67"/>
    <s v="Clear"/>
  </r>
  <r>
    <x v="58"/>
    <s v="2:00 PM"/>
    <n v="4.6100000000000003"/>
    <d v="1899-12-30T00:08:36"/>
    <d v="1899-12-30T00:39:38"/>
    <s v="57°F Cloudy"/>
    <x v="6"/>
    <n v="57"/>
    <s v="Cloudy"/>
  </r>
  <r>
    <x v="59"/>
    <s v="5:48 PM"/>
    <n v="4.63"/>
    <d v="1899-12-30T00:08:49"/>
    <d v="1899-12-30T00:40:50"/>
    <s v="49°F Clear"/>
    <x v="6"/>
    <n v="49"/>
    <s v="Clear"/>
  </r>
  <r>
    <x v="60"/>
    <s v="1:31 PM"/>
    <n v="4.6100000000000003"/>
    <d v="1899-12-30T00:09:02"/>
    <d v="1899-12-30T00:41:34"/>
    <s v="41°F Clear"/>
    <x v="6"/>
    <n v="41"/>
    <s v="Clear"/>
  </r>
  <r>
    <x v="61"/>
    <s v="4:58 PM"/>
    <n v="4.66"/>
    <d v="1899-12-30T00:09:08"/>
    <d v="1899-12-30T00:42:36"/>
    <s v="70°F Partly cloudy"/>
    <x v="6"/>
    <n v="70"/>
    <s v="Partly cloudy"/>
  </r>
  <r>
    <x v="62"/>
    <s v="5:10 PM"/>
    <n v="2.97"/>
    <d v="1899-12-30T00:09:05"/>
    <d v="1899-12-30T00:26:56"/>
    <s v="67°F Cloudy"/>
    <x v="6"/>
    <n v="67"/>
    <s v="Cloudy"/>
  </r>
  <r>
    <x v="63"/>
    <s v="5:04 PM"/>
    <n v="4.72"/>
    <d v="1899-12-30T00:09:32"/>
    <d v="1899-12-30T00:45:03"/>
    <s v="54°F Clear"/>
    <x v="6"/>
    <n v="54"/>
    <s v="Clear"/>
  </r>
  <r>
    <x v="64"/>
    <s v="4:46 PM"/>
    <n v="2.9"/>
    <d v="1899-12-30T00:09:38"/>
    <d v="1899-12-30T00:27:55"/>
    <s v="66°F Cloudy"/>
    <x v="6"/>
    <n v="66"/>
    <s v="Cloudy"/>
  </r>
  <r>
    <x v="65"/>
    <s v="1:15 PM"/>
    <n v="4.68"/>
    <d v="1899-12-30T00:09:13"/>
    <d v="1899-12-30T00:43:07"/>
    <s v="63°F Cloudy"/>
    <x v="7"/>
    <n v="63"/>
    <s v="Cloudy"/>
  </r>
  <r>
    <x v="66"/>
    <s v="4:46 PM"/>
    <n v="2.95"/>
    <d v="1899-12-30T00:08:32"/>
    <d v="1899-12-30T00:25:10"/>
    <s v="62°F Cloudy"/>
    <x v="7"/>
    <n v="62"/>
    <s v="Cloudy"/>
  </r>
  <r>
    <x v="67"/>
    <s v="1:10 PM"/>
    <n v="3.02"/>
    <d v="1899-12-30T00:09:19"/>
    <d v="1899-12-30T00:28:06"/>
    <s v="58°F Clear"/>
    <x v="7"/>
    <n v="58"/>
    <s v="Clear"/>
  </r>
  <r>
    <x v="68"/>
    <s v="4:43 PM"/>
    <n v="2.93"/>
    <d v="1899-12-30T00:08:42"/>
    <d v="1899-12-30T00:25:28"/>
    <s v="71°F Clear"/>
    <x v="7"/>
    <n v="71"/>
    <s v="Clear"/>
  </r>
  <r>
    <x v="69"/>
    <s v="4:37 PM"/>
    <n v="2.91"/>
    <d v="1899-12-30T00:08:33"/>
    <d v="1899-12-30T00:24:51"/>
    <s v="56°F Cloudy"/>
    <x v="7"/>
    <n v="56"/>
    <s v="Cloudy"/>
  </r>
  <r>
    <x v="70"/>
    <s v="1:55 PM"/>
    <n v="4.6500000000000004"/>
    <d v="1899-12-30T00:08:50"/>
    <d v="1899-12-30T00:41:07"/>
    <s v="56°F Cloudy"/>
    <x v="8"/>
    <n v="56"/>
    <s v="Cloudy"/>
  </r>
  <r>
    <x v="71"/>
    <s v="1:30 PM"/>
    <n v="2.98"/>
    <d v="1899-12-30T00:09:09"/>
    <d v="1899-12-30T00:27:17"/>
    <s v="68°F Cloudy"/>
    <x v="8"/>
    <n v="68"/>
    <s v="Cloudy"/>
  </r>
  <r>
    <x v="72"/>
    <s v="4:38 PM"/>
    <n v="2.98"/>
    <d v="1899-12-30T00:08:48"/>
    <d v="1899-12-30T00:26:15"/>
    <s v="79°F Drizzle"/>
    <x v="8"/>
    <n v="79"/>
    <s v="Drizzle"/>
  </r>
  <r>
    <x v="73"/>
    <s v="2:18 PM"/>
    <n v="2.92"/>
    <d v="1899-12-30T00:10:38"/>
    <d v="1899-12-30T00:31:04"/>
    <s v="75°F Clear"/>
    <x v="8"/>
    <n v="75"/>
    <s v="Clear"/>
  </r>
  <r>
    <x v="74"/>
    <s v="1:50 PM"/>
    <n v="3.56"/>
    <d v="1899-12-30T00:08:54"/>
    <d v="1899-12-30T00:31:41"/>
    <s v="79°F Clear"/>
    <x v="8"/>
    <n v="79"/>
    <s v="Clear"/>
  </r>
  <r>
    <x v="75"/>
    <s v="5:42 PM"/>
    <n v="2.98"/>
    <d v="1899-12-30T00:09:49"/>
    <d v="1899-12-30T00:29:12"/>
    <s v="78°F Cloudy"/>
    <x v="8"/>
    <n v="78"/>
    <s v="Cloudy"/>
  </r>
  <r>
    <x v="76"/>
    <s v="4:46 PM"/>
    <n v="3.01"/>
    <d v="1899-12-30T00:08:51"/>
    <d v="1899-12-30T00:26:38"/>
    <s v="79°F Cloudy"/>
    <x v="8"/>
    <n v="79"/>
    <s v="Cloudy"/>
  </r>
  <r>
    <x v="77"/>
    <s v="12:27 PM"/>
    <n v="2.13"/>
    <d v="1899-12-30T00:09:46"/>
    <d v="1899-12-30T00:20:51"/>
    <s v="70°F Clear"/>
    <x v="8"/>
    <n v="70"/>
    <s v="Clear"/>
  </r>
  <r>
    <x v="78"/>
    <s v="5:07 PM"/>
    <n v="2.96"/>
    <d v="1899-12-30T00:08:40"/>
    <d v="1899-12-30T00:25:40"/>
    <s v="69°F Clear"/>
    <x v="8"/>
    <n v="69"/>
    <s v="Clear"/>
  </r>
  <r>
    <x v="79"/>
    <s v="4:54 PM"/>
    <n v="2.99"/>
    <d v="1899-12-30T00:08:08"/>
    <d v="1899-12-30T00:24:19"/>
    <s v="65°F Clear"/>
    <x v="8"/>
    <n v="65"/>
    <s v="Clear"/>
  </r>
  <r>
    <x v="80"/>
    <s v="11:33 AM"/>
    <n v="3"/>
    <d v="1899-12-30T00:09:02"/>
    <d v="1899-12-30T00:27:09"/>
    <s v="59°F Clear"/>
    <x v="9"/>
    <n v="59"/>
    <s v="Clear"/>
  </r>
  <r>
    <x v="81"/>
    <s v="11:05 AM"/>
    <n v="2.98"/>
    <d v="1899-12-30T00:09:20"/>
    <d v="1899-12-30T00:27:51"/>
    <s v="61°F Partly cloudy"/>
    <x v="9"/>
    <n v="61"/>
    <s v="Partly cloudy"/>
  </r>
  <r>
    <x v="82"/>
    <s v="6:37 PM"/>
    <n v="3.01"/>
    <d v="1899-12-30T00:08:30"/>
    <d v="1899-12-30T00:25:36"/>
    <s v="74°F Clear"/>
    <x v="9"/>
    <n v="74"/>
    <s v="Clear"/>
  </r>
  <r>
    <x v="83"/>
    <s v="5:42 PM"/>
    <n v="2.97"/>
    <d v="1899-12-30T00:08:29"/>
    <d v="1899-12-30T00:25:10"/>
    <s v="77°F Partly cloudy"/>
    <x v="9"/>
    <n v="77"/>
    <s v="Partly cloudy"/>
  </r>
  <r>
    <x v="84"/>
    <s v="12:58 PM"/>
    <n v="4.63"/>
    <d v="1899-12-30T00:09:39"/>
    <d v="1899-12-30T00:44:40"/>
    <s v="76°F Clear"/>
    <x v="9"/>
    <n v="76"/>
    <s v="Clear"/>
  </r>
  <r>
    <x v="85"/>
    <s v="6:24 PM"/>
    <n v="2.97"/>
    <d v="1899-12-30T00:08:51"/>
    <d v="1899-12-30T00:26:14"/>
    <s v="75°F Clear"/>
    <x v="9"/>
    <n v="75"/>
    <s v="Clear"/>
  </r>
  <r>
    <x v="86"/>
    <s v="5:20 PM"/>
    <n v="4.8099999999999996"/>
    <d v="1899-12-30T00:11:03"/>
    <d v="1899-12-30T00:53:07"/>
    <s v="82°F Clear"/>
    <x v="9"/>
    <n v="82"/>
    <s v="Clear"/>
  </r>
  <r>
    <x v="87"/>
    <s v="5:47 PM"/>
    <n v="4.66"/>
    <d v="1899-12-30T00:11:11"/>
    <d v="1899-12-30T00:52:05"/>
    <s v="84°F Clear"/>
    <x v="9"/>
    <n v="84"/>
    <s v="Clear"/>
  </r>
  <r>
    <x v="88"/>
    <s v="5:56 PM"/>
    <n v="4.54"/>
    <d v="1899-12-30T00:09:28"/>
    <d v="1899-12-30T00:42:56"/>
    <s v="83°F Clear"/>
    <x v="9"/>
    <n v="83"/>
    <s v="Clear"/>
  </r>
  <r>
    <x v="89"/>
    <s v="5:17 PM"/>
    <n v="2.89"/>
    <d v="1899-12-30T00:09:42"/>
    <d v="1899-12-30T00:28:01"/>
    <s v="81°F Clear"/>
    <x v="9"/>
    <n v="81"/>
    <s v="Clear"/>
  </r>
  <r>
    <x v="90"/>
    <s v="7:00 PM"/>
    <n v="2.94"/>
    <d v="1899-12-30T00:10:10"/>
    <d v="1899-12-30T00:29:51"/>
    <s v="82°F Drizzle"/>
    <x v="10"/>
    <n v="82"/>
    <s v="Drizzle"/>
  </r>
  <r>
    <x v="91"/>
    <s v="6:56 PM"/>
    <n v="2.82"/>
    <d v="1899-12-30T00:09:12"/>
    <d v="1899-12-30T00:25:55"/>
    <s v="86°F Clear"/>
    <x v="10"/>
    <n v="86"/>
    <s v="Clear"/>
  </r>
  <r>
    <x v="92"/>
    <s v="6:56 PM"/>
    <n v="2.97"/>
    <d v="1899-12-30T00:09:21"/>
    <d v="1899-12-30T00:27:47"/>
    <s v="85°F Clear"/>
    <x v="10"/>
    <n v="85"/>
    <s v="Clear"/>
  </r>
  <r>
    <x v="93"/>
    <s v="7:22 PM"/>
    <n v="2.82"/>
    <d v="1899-12-30T00:09:01"/>
    <d v="1899-12-30T00:25:24"/>
    <s v="86°F Clear"/>
    <x v="10"/>
    <n v="86"/>
    <s v="Clear"/>
  </r>
  <r>
    <x v="94"/>
    <s v="7:17 PM"/>
    <n v="2.87"/>
    <d v="1899-12-30T00:10:01"/>
    <d v="1899-12-30T00:28:47"/>
    <s v="82°F Partly cloudy"/>
    <x v="10"/>
    <n v="82"/>
    <s v="Partly cloudy"/>
  </r>
  <r>
    <x v="95"/>
    <s v="6:50 PM"/>
    <n v="3.02"/>
    <d v="1899-12-30T00:08:53"/>
    <d v="1899-12-30T00:26:50"/>
    <s v="81°F Partly cloudy"/>
    <x v="10"/>
    <n v="81"/>
    <s v="Partly cloudy"/>
  </r>
  <r>
    <x v="96"/>
    <s v="2:26 PM"/>
    <n v="3"/>
    <d v="1899-12-30T00:08:37"/>
    <d v="1899-12-30T00:25:54"/>
    <s v="84°F Cloudy"/>
    <x v="10"/>
    <n v="84"/>
    <s v="Cloudy"/>
  </r>
  <r>
    <x v="97"/>
    <s v="7:07 PM"/>
    <n v="3.05"/>
    <d v="1899-12-30T00:08:40"/>
    <d v="1899-12-30T00:26:24"/>
    <s v="77°F Drizzle"/>
    <x v="11"/>
    <n v="77"/>
    <s v="Drizzle"/>
  </r>
  <r>
    <x v="98"/>
    <s v="6:49 PM"/>
    <n v="3"/>
    <d v="1899-12-30T00:08:38"/>
    <d v="1899-12-30T00:25:53"/>
    <s v="85°F Partly cloudy"/>
    <x v="11"/>
    <n v="85"/>
    <s v="Partly cloudy"/>
  </r>
  <r>
    <x v="99"/>
    <s v="7:14 PM"/>
    <n v="3.02"/>
    <d v="1899-12-30T00:09:06"/>
    <d v="1899-12-30T00:27:30"/>
    <s v="84°F Partly cloudy"/>
    <x v="11"/>
    <n v="84"/>
    <s v="Partly cloudy"/>
  </r>
  <r>
    <x v="100"/>
    <s v="7:20 PM"/>
    <n v="2.96"/>
    <d v="1899-12-30T00:08:21"/>
    <d v="1899-12-30T00:24:46"/>
    <s v="87°F Clear"/>
    <x v="11"/>
    <n v="87"/>
    <s v="Clear"/>
  </r>
  <r>
    <x v="101"/>
    <s v="5:29 PM"/>
    <n v="2.99"/>
    <d v="1899-12-30T00:07:56"/>
    <d v="1899-12-30T00:23:40"/>
    <s v="91°F Clear"/>
    <x v="11"/>
    <n v="91"/>
    <s v="Clea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611E2E6-0D12-47A0-B4F7-3C73106B5D9F}" name="PivotTable1"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location ref="A3:D16" firstHeaderRow="0" firstDataRow="1" firstDataCol="1"/>
  <pivotFields count="9">
    <pivotField dataField="1" compact="0" numFmtId="164" outline="0" showAll="0" defaultSubtotal="0">
      <items count="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compact="0" outline="0" showAll="0" defaultSubtotal="0"/>
    <pivotField dataField="1" compact="0" numFmtId="166" outline="0" showAll="0" defaultSubtotal="0"/>
    <pivotField dataField="1" compact="0" numFmtId="167" outline="0" showAll="0" defaultSubtotal="0"/>
    <pivotField compact="0" numFmtId="46" outline="0" showAll="0" defaultSubtotal="0"/>
    <pivotField compact="0" outline="0" showAll="0" defaultSubtotal="0"/>
    <pivotField axis="axisRow" compact="0" numFmtId="168" outline="0" showAll="0" sortType="ascending" defaultSubtotal="0">
      <items count="12">
        <item x="11"/>
        <item x="10"/>
        <item x="9"/>
        <item x="8"/>
        <item x="7"/>
        <item x="6"/>
        <item x="5"/>
        <item x="4"/>
        <item x="3"/>
        <item x="2"/>
        <item x="1"/>
        <item x="0"/>
      </items>
    </pivotField>
    <pivotField compact="0" numFmtId="169" outline="0" showAll="0" defaultSubtotal="0"/>
    <pivotField compact="0" outline="0" showAll="0" defaultSubtotal="0"/>
  </pivotFields>
  <rowFields count="1">
    <field x="6"/>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Total Runs" fld="0" subtotal="count" baseField="6" baseItem="0" numFmtId="1"/>
    <dataField name="Total Distance" fld="2" baseField="6" baseItem="0" numFmtId="2"/>
    <dataField name="Average Pace" fld="3" subtotal="average" baseField="6" baseItem="0" numFmtId="170"/>
  </dataField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9F88B2-22B2-406A-825F-34523B47A79B}" name="DistanceByMonthPivot"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8">
  <location ref="I3:J15" firstHeaderRow="1" firstDataRow="1" firstDataCol="1"/>
  <pivotFields count="9">
    <pivotField compact="0" numFmtId="164" outline="0" showAll="0" defaultSubtotal="0">
      <items count="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compact="0" outline="0" showAll="0" defaultSubtotal="0"/>
    <pivotField dataField="1" compact="0" numFmtId="166" outline="0" showAll="0" defaultSubtotal="0"/>
    <pivotField compact="0" numFmtId="167" outline="0" showAll="0" defaultSubtotal="0"/>
    <pivotField compact="0" numFmtId="46" outline="0" showAll="0" defaultSubtotal="0"/>
    <pivotField compact="0" outline="0" showAll="0" defaultSubtotal="0"/>
    <pivotField axis="axisRow" compact="0" numFmtId="168" outline="0" showAll="0" sortType="ascending" defaultSubtotal="0">
      <items count="12">
        <item x="11"/>
        <item x="10"/>
        <item x="9"/>
        <item x="8"/>
        <item x="7"/>
        <item x="6"/>
        <item x="5"/>
        <item x="4"/>
        <item x="3"/>
        <item x="2"/>
        <item x="1"/>
        <item x="0"/>
      </items>
    </pivotField>
    <pivotField compact="0" numFmtId="169" outline="0" showAll="0" defaultSubtotal="0"/>
    <pivotField compact="0" outline="0" showAll="0" defaultSubtotal="0"/>
  </pivotFields>
  <rowFields count="1">
    <field x="6"/>
  </rowFields>
  <rowItems count="12">
    <i>
      <x/>
    </i>
    <i>
      <x v="1"/>
    </i>
    <i>
      <x v="2"/>
    </i>
    <i>
      <x v="3"/>
    </i>
    <i>
      <x v="4"/>
    </i>
    <i>
      <x v="5"/>
    </i>
    <i>
      <x v="6"/>
    </i>
    <i>
      <x v="7"/>
    </i>
    <i>
      <x v="8"/>
    </i>
    <i>
      <x v="9"/>
    </i>
    <i>
      <x v="10"/>
    </i>
    <i>
      <x v="11"/>
    </i>
  </rowItems>
  <colItems count="1">
    <i/>
  </colItems>
  <dataFields count="1">
    <dataField name="Total Distance" fld="2" baseField="6" baseItem="0" numFmtId="2"/>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5CDD319-7295-4CC3-B0E9-54A973A68299}" name="PaceByMonthPivot"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4">
  <location ref="F3:G15" firstHeaderRow="1" firstDataRow="1" firstDataCol="1"/>
  <pivotFields count="9">
    <pivotField compact="0" numFmtId="164" outline="0" showAll="0" defaultSubtotal="0">
      <items count="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compact="0" outline="0" showAll="0" defaultSubtotal="0"/>
    <pivotField compact="0" numFmtId="166" outline="0" showAll="0" defaultSubtotal="0"/>
    <pivotField dataField="1" compact="0" numFmtId="167" outline="0" showAll="0" defaultSubtotal="0"/>
    <pivotField compact="0" numFmtId="46" outline="0" showAll="0" defaultSubtotal="0"/>
    <pivotField compact="0" outline="0" showAll="0" defaultSubtotal="0"/>
    <pivotField axis="axisRow" compact="0" numFmtId="168" outline="0" showAll="0" sortType="ascending" defaultSubtotal="0">
      <items count="12">
        <item x="11"/>
        <item x="10"/>
        <item x="9"/>
        <item x="8"/>
        <item x="7"/>
        <item x="6"/>
        <item x="5"/>
        <item x="4"/>
        <item x="3"/>
        <item x="2"/>
        <item x="1"/>
        <item x="0"/>
      </items>
    </pivotField>
    <pivotField compact="0" numFmtId="169" outline="0" showAll="0" defaultSubtotal="0"/>
    <pivotField compact="0" outline="0" showAll="0" defaultSubtotal="0"/>
  </pivotFields>
  <rowFields count="1">
    <field x="6"/>
  </rowFields>
  <rowItems count="12">
    <i>
      <x/>
    </i>
    <i>
      <x v="1"/>
    </i>
    <i>
      <x v="2"/>
    </i>
    <i>
      <x v="3"/>
    </i>
    <i>
      <x v="4"/>
    </i>
    <i>
      <x v="5"/>
    </i>
    <i>
      <x v="6"/>
    </i>
    <i>
      <x v="7"/>
    </i>
    <i>
      <x v="8"/>
    </i>
    <i>
      <x v="9"/>
    </i>
    <i>
      <x v="10"/>
    </i>
    <i>
      <x v="11"/>
    </i>
  </rowItems>
  <colItems count="1">
    <i/>
  </colItems>
  <dataFields count="1">
    <dataField name="Average Pace" fld="3" subtotal="average" baseField="6" baseItem="0" numFmtId="17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ather_Condition" xr10:uid="{A726E107-7752-4DCD-9382-FE76CD19F2F9}" sourceName="Weather Condition">
  <extLst>
    <x:ext xmlns:x15="http://schemas.microsoft.com/office/spreadsheetml/2010/11/main" uri="{2F2917AC-EB37-4324-AD4E-5DD8C200BD13}">
      <x15:tableSlicerCache tableId="1" column="9"/>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ather Condition" xr10:uid="{91C3394F-C151-4315-9371-939932388AC5}" cache="Slicer_Weather_Condition" caption="Weather Condit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unLog" displayName="RunLog" ref="A1:I104">
  <autoFilter ref="A1:I104" xr:uid="{00000000-0009-0000-0100-000001000000}"/>
  <tableColumns count="9">
    <tableColumn id="1" xr3:uid="{00000000-0010-0000-0000-000001000000}" name="Date"/>
    <tableColumn id="2" xr3:uid="{00000000-0010-0000-0000-000002000000}" name="Start Time"/>
    <tableColumn id="3" xr3:uid="{00000000-0010-0000-0000-000003000000}" name="Distance"/>
    <tableColumn id="4" xr3:uid="{00000000-0010-0000-0000-000004000000}" name="Pace"/>
    <tableColumn id="5" xr3:uid="{00000000-0010-0000-0000-000005000000}" name="Time"/>
    <tableColumn id="6" xr3:uid="{00000000-0010-0000-0000-000006000000}" name="Weather"/>
    <tableColumn id="7" xr3:uid="{6627EEA8-A3EA-4357-865C-82E4A6E3CBF2}" name="Month Start" dataDxfId="2">
      <calculatedColumnFormula>DATE(YEAR(RunLog[[#This Row],[Date]]),MONTH(RunLog[[#This Row],[Date]]),1)</calculatedColumnFormula>
    </tableColumn>
    <tableColumn id="8" xr3:uid="{332F33A1-7C92-4B36-A684-C04F50B3898F}" name="Temperature" dataDxfId="1">
      <calculatedColumnFormula>VALUE(_xlfn.TEXTBEFORE(RunLog[[#This Row],[Weather]],"°F"))</calculatedColumnFormula>
    </tableColumn>
    <tableColumn id="9" xr3:uid="{F9D6B4C8-0763-488F-ACFA-6DE46C5A32F3}" name="Weather Condition" dataDxfId="0">
      <calculatedColumnFormula>TRIM(_xlfn.TEXTAFTER(RunLog[[#This Row],[Weather]]," "))</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5A019932-9E2E-4367-AA9F-287CD7B0650E}" sourceName="Date">
  <pivotTables>
    <pivotTable tabId="2" name="PaceByMonthPivot"/>
    <pivotTable tabId="2" name="DistanceByMonthPivot"/>
    <pivotTable tabId="2" name="PivotTable1"/>
  </pivotTables>
  <state minimalRefreshVersion="6" lastRefreshVersion="6" pivotCacheId="1751889145"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6AF9313E-4AB7-4D0B-B26B-D5D03E92C7AC}" cache="NativeTimeline_Date" caption="Date" level="2" selectionLevel="2" scrollPosition="2025-11-23T00:00:00"/>
</timeline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5"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24F7CA6-1C5C-4F8D-A060-6951FF7B9B9F}">
  <we:reference id="wa200009404" version="1.0.0.8" store="en-US" storeType="OMEX"/>
  <we:alternateReferences>
    <we:reference id="wa200009404" version="1.0.0.8" store="wa200009404" storeType="OMEX"/>
  </we:alternateReferences>
  <we:properties>
    <we:property name="claude.fileId" value="&quot;bc18b6fc-d8ab-4763-9f0d-3b87c04ef49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4"/>
  <sheetViews>
    <sheetView tabSelected="1" workbookViewId="0">
      <pane ySplit="1" topLeftCell="A2" activePane="bottomLeft" state="frozen"/>
      <selection pane="bottomLeft" activeCell="L28" sqref="L28"/>
    </sheetView>
  </sheetViews>
  <sheetFormatPr defaultRowHeight="15" x14ac:dyDescent="0.25"/>
  <cols>
    <col min="1" max="2" width="12" customWidth="1"/>
    <col min="3" max="3" width="11" customWidth="1"/>
    <col min="4" max="4" width="10" customWidth="1"/>
    <col min="5" max="5" width="11" customWidth="1"/>
    <col min="6" max="6" width="22" customWidth="1"/>
    <col min="7" max="7" width="13.85546875" bestFit="1" customWidth="1"/>
    <col min="8" max="8" width="14.85546875" bestFit="1" customWidth="1"/>
    <col min="9" max="9" width="20.5703125" bestFit="1" customWidth="1"/>
    <col min="11" max="11" width="16.42578125" bestFit="1" customWidth="1"/>
  </cols>
  <sheetData>
    <row r="1" spans="1:12" x14ac:dyDescent="0.25">
      <c r="A1" s="1" t="s">
        <v>0</v>
      </c>
      <c r="B1" s="1" t="s">
        <v>1</v>
      </c>
      <c r="C1" s="1" t="s">
        <v>2</v>
      </c>
      <c r="D1" s="1" t="s">
        <v>3</v>
      </c>
      <c r="E1" s="1" t="s">
        <v>4</v>
      </c>
      <c r="F1" s="1" t="s">
        <v>5</v>
      </c>
      <c r="G1" s="8" t="s">
        <v>164</v>
      </c>
      <c r="H1" s="9" t="s">
        <v>165</v>
      </c>
      <c r="I1" t="s">
        <v>166</v>
      </c>
      <c r="K1" s="17" t="s">
        <v>159</v>
      </c>
      <c r="L1" s="17"/>
    </row>
    <row r="2" spans="1:12" x14ac:dyDescent="0.25">
      <c r="A2" s="2">
        <v>46214</v>
      </c>
      <c r="B2" s="3" t="s">
        <v>6</v>
      </c>
      <c r="C2" s="4">
        <v>4.09</v>
      </c>
      <c r="D2" s="5">
        <v>7.0486111111111114E-3</v>
      </c>
      <c r="E2" s="6">
        <v>2.885416666666667E-2</v>
      </c>
      <c r="F2" s="3" t="s">
        <v>7</v>
      </c>
      <c r="G2" s="8">
        <f>DATE(YEAR(RunLog[[#This Row],[Date]]),MONTH(RunLog[[#This Row],[Date]]),1)</f>
        <v>46204</v>
      </c>
      <c r="H2" s="9">
        <f>VALUE(_xlfn.TEXTBEFORE(RunLog[[#This Row],[Weather]],"°F"))</f>
        <v>91</v>
      </c>
      <c r="I2" t="str">
        <f>TRIM(_xlfn.TEXTAFTER(RunLog[[#This Row],[Weather]]," "))</f>
        <v>Drizzle</v>
      </c>
      <c r="K2" s="13" t="s">
        <v>160</v>
      </c>
      <c r="L2" s="14">
        <f>AVERAGE(RunLog[Distance])</f>
        <v>3.5854368932038851</v>
      </c>
    </row>
    <row r="3" spans="1:12" x14ac:dyDescent="0.25">
      <c r="A3" s="2">
        <v>46213</v>
      </c>
      <c r="B3" s="3" t="s">
        <v>8</v>
      </c>
      <c r="C3" s="4">
        <v>4.2</v>
      </c>
      <c r="D3" s="5">
        <v>5.8564814814814816E-3</v>
      </c>
      <c r="E3" s="6">
        <v>2.4548611111111111E-2</v>
      </c>
      <c r="F3" s="3" t="s">
        <v>9</v>
      </c>
      <c r="G3" s="8">
        <f>DATE(YEAR(RunLog[[#This Row],[Date]]),MONTH(RunLog[[#This Row],[Date]]),1)</f>
        <v>46204</v>
      </c>
      <c r="H3" s="9">
        <f>VALUE(_xlfn.TEXTBEFORE(RunLog[[#This Row],[Weather]],"°F"))</f>
        <v>86</v>
      </c>
      <c r="I3" t="str">
        <f>TRIM(_xlfn.TEXTAFTER(RunLog[[#This Row],[Weather]]," "))</f>
        <v>Cloudy</v>
      </c>
      <c r="K3" s="13" t="s">
        <v>161</v>
      </c>
      <c r="L3" s="15">
        <f>AVERAGE(RunLog[Pace])</f>
        <v>6.3251752966558819E-3</v>
      </c>
    </row>
    <row r="4" spans="1:12" x14ac:dyDescent="0.25">
      <c r="A4" s="2">
        <v>46212</v>
      </c>
      <c r="B4" s="3" t="s">
        <v>10</v>
      </c>
      <c r="C4" s="4">
        <v>2.4500000000000002</v>
      </c>
      <c r="D4" s="5">
        <v>6.4004629629629628E-3</v>
      </c>
      <c r="E4" s="6">
        <v>1.5671296296296301E-2</v>
      </c>
      <c r="F4" s="3" t="s">
        <v>11</v>
      </c>
      <c r="G4" s="8">
        <f>DATE(YEAR(RunLog[[#This Row],[Date]]),MONTH(RunLog[[#This Row],[Date]]),1)</f>
        <v>46204</v>
      </c>
      <c r="H4" s="9">
        <f>VALUE(_xlfn.TEXTBEFORE(RunLog[[#This Row],[Weather]],"°F"))</f>
        <v>88</v>
      </c>
      <c r="I4" t="str">
        <f>TRIM(_xlfn.TEXTAFTER(RunLog[[#This Row],[Weather]]," "))</f>
        <v>Drizzle</v>
      </c>
      <c r="K4" s="13" t="s">
        <v>162</v>
      </c>
      <c r="L4" s="18">
        <f>AVERAGE(RunLog[Time])</f>
        <v>2.280969075871989E-2</v>
      </c>
    </row>
    <row r="5" spans="1:12" x14ac:dyDescent="0.25">
      <c r="A5" s="2">
        <v>46211</v>
      </c>
      <c r="B5" s="3" t="s">
        <v>12</v>
      </c>
      <c r="C5" s="4">
        <v>3.97</v>
      </c>
      <c r="D5" s="5">
        <v>5.9953703703703714E-3</v>
      </c>
      <c r="E5" s="6">
        <v>2.3784722222222221E-2</v>
      </c>
      <c r="F5" s="3" t="s">
        <v>13</v>
      </c>
      <c r="G5" s="8">
        <f>DATE(YEAR(RunLog[[#This Row],[Date]]),MONTH(RunLog[[#This Row],[Date]]),1)</f>
        <v>46204</v>
      </c>
      <c r="H5" s="9">
        <f>VALUE(_xlfn.TEXTBEFORE(RunLog[[#This Row],[Weather]],"°F"))</f>
        <v>85</v>
      </c>
      <c r="I5" t="str">
        <f>TRIM(_xlfn.TEXTAFTER(RunLog[[#This Row],[Weather]]," "))</f>
        <v>Drizzle</v>
      </c>
      <c r="K5" s="13" t="s">
        <v>163</v>
      </c>
      <c r="L5" s="16">
        <f>COUNT(RunLog[Date])</f>
        <v>103</v>
      </c>
    </row>
    <row r="6" spans="1:12" x14ac:dyDescent="0.25">
      <c r="A6" s="2">
        <v>46210</v>
      </c>
      <c r="B6" s="3" t="s">
        <v>14</v>
      </c>
      <c r="C6" s="4">
        <v>4.21</v>
      </c>
      <c r="D6" s="5">
        <v>6.3657407407407404E-3</v>
      </c>
      <c r="E6" s="6">
        <v>2.6782407407407411E-2</v>
      </c>
      <c r="F6" s="3" t="s">
        <v>15</v>
      </c>
      <c r="G6" s="8">
        <f>DATE(YEAR(RunLog[[#This Row],[Date]]),MONTH(RunLog[[#This Row],[Date]]),1)</f>
        <v>46204</v>
      </c>
      <c r="H6" s="9">
        <f>VALUE(_xlfn.TEXTBEFORE(RunLog[[#This Row],[Weather]],"°F"))</f>
        <v>83</v>
      </c>
      <c r="I6" t="str">
        <f>TRIM(_xlfn.TEXTAFTER(RunLog[[#This Row],[Weather]]," "))</f>
        <v>Partly cloudy</v>
      </c>
    </row>
    <row r="7" spans="1:12" x14ac:dyDescent="0.25">
      <c r="A7" s="2">
        <v>46204</v>
      </c>
      <c r="B7" s="3" t="s">
        <v>16</v>
      </c>
      <c r="C7" s="4">
        <v>4.38</v>
      </c>
      <c r="D7" s="5">
        <v>6.5972222222222222E-3</v>
      </c>
      <c r="E7" s="6">
        <v>2.8877314814814811E-2</v>
      </c>
      <c r="F7" s="3" t="s">
        <v>13</v>
      </c>
      <c r="G7" s="8">
        <f>DATE(YEAR(RunLog[[#This Row],[Date]]),MONTH(RunLog[[#This Row],[Date]]),1)</f>
        <v>46204</v>
      </c>
      <c r="H7" s="9">
        <f>VALUE(_xlfn.TEXTBEFORE(RunLog[[#This Row],[Weather]],"°F"))</f>
        <v>85</v>
      </c>
      <c r="I7" t="str">
        <f>TRIM(_xlfn.TEXTAFTER(RunLog[[#This Row],[Weather]]," "))</f>
        <v>Drizzle</v>
      </c>
    </row>
    <row r="8" spans="1:12" x14ac:dyDescent="0.25">
      <c r="A8" s="2">
        <v>46203</v>
      </c>
      <c r="B8" s="3" t="s">
        <v>17</v>
      </c>
      <c r="C8" s="4">
        <v>2.57</v>
      </c>
      <c r="D8" s="5">
        <v>7.1064814814814819E-3</v>
      </c>
      <c r="E8" s="6">
        <v>1.8263888888888889E-2</v>
      </c>
      <c r="F8" s="3" t="s">
        <v>18</v>
      </c>
      <c r="G8" s="8">
        <f>DATE(YEAR(RunLog[[#This Row],[Date]]),MONTH(RunLog[[#This Row],[Date]]),1)</f>
        <v>46174</v>
      </c>
      <c r="H8" s="9">
        <f>VALUE(_xlfn.TEXTBEFORE(RunLog[[#This Row],[Weather]],"°F"))</f>
        <v>89</v>
      </c>
      <c r="I8" t="str">
        <f>TRIM(_xlfn.TEXTAFTER(RunLog[[#This Row],[Weather]]," "))</f>
        <v>Partly cloudy</v>
      </c>
    </row>
    <row r="9" spans="1:12" x14ac:dyDescent="0.25">
      <c r="A9" s="2">
        <v>46202</v>
      </c>
      <c r="B9" s="3" t="s">
        <v>19</v>
      </c>
      <c r="C9" s="4">
        <v>4.1900000000000004</v>
      </c>
      <c r="D9" s="5">
        <v>5.8564814814814816E-3</v>
      </c>
      <c r="E9" s="6">
        <v>2.4537037037037041E-2</v>
      </c>
      <c r="F9" s="3" t="s">
        <v>20</v>
      </c>
      <c r="G9" s="8">
        <f>DATE(YEAR(RunLog[[#This Row],[Date]]),MONTH(RunLog[[#This Row],[Date]]),1)</f>
        <v>46174</v>
      </c>
      <c r="H9" s="9">
        <f>VALUE(_xlfn.TEXTBEFORE(RunLog[[#This Row],[Weather]],"°F"))</f>
        <v>89</v>
      </c>
      <c r="I9" t="str">
        <f>TRIM(_xlfn.TEXTAFTER(RunLog[[#This Row],[Weather]]," "))</f>
        <v>Drizzle</v>
      </c>
    </row>
    <row r="10" spans="1:12" x14ac:dyDescent="0.25">
      <c r="A10" s="2">
        <v>46199</v>
      </c>
      <c r="B10" s="3" t="s">
        <v>21</v>
      </c>
      <c r="C10" s="4">
        <v>4.29</v>
      </c>
      <c r="D10" s="5">
        <v>6.3425925925925924E-3</v>
      </c>
      <c r="E10" s="6">
        <v>2.7164351851851849E-2</v>
      </c>
      <c r="F10" s="3" t="s">
        <v>22</v>
      </c>
      <c r="G10" s="8">
        <f>DATE(YEAR(RunLog[[#This Row],[Date]]),MONTH(RunLog[[#This Row],[Date]]),1)</f>
        <v>46174</v>
      </c>
      <c r="H10" s="9">
        <f>VALUE(_xlfn.TEXTBEFORE(RunLog[[#This Row],[Weather]],"°F"))</f>
        <v>87</v>
      </c>
      <c r="I10" t="str">
        <f>TRIM(_xlfn.TEXTAFTER(RunLog[[#This Row],[Weather]]," "))</f>
        <v>Clear</v>
      </c>
    </row>
    <row r="11" spans="1:12" x14ac:dyDescent="0.25">
      <c r="A11" s="2">
        <v>46198</v>
      </c>
      <c r="B11" s="3" t="s">
        <v>23</v>
      </c>
      <c r="C11" s="4">
        <v>1.58</v>
      </c>
      <c r="D11" s="5">
        <v>5.324074074074074E-3</v>
      </c>
      <c r="E11" s="6">
        <v>8.4259259259259253E-3</v>
      </c>
      <c r="F11" s="3" t="s">
        <v>13</v>
      </c>
      <c r="G11" s="8">
        <f>DATE(YEAR(RunLog[[#This Row],[Date]]),MONTH(RunLog[[#This Row],[Date]]),1)</f>
        <v>46174</v>
      </c>
      <c r="H11" s="9">
        <f>VALUE(_xlfn.TEXTBEFORE(RunLog[[#This Row],[Weather]],"°F"))</f>
        <v>85</v>
      </c>
      <c r="I11" t="str">
        <f>TRIM(_xlfn.TEXTAFTER(RunLog[[#This Row],[Weather]]," "))</f>
        <v>Drizzle</v>
      </c>
    </row>
    <row r="12" spans="1:12" x14ac:dyDescent="0.25">
      <c r="A12" s="2">
        <v>46197</v>
      </c>
      <c r="B12" s="3" t="s">
        <v>24</v>
      </c>
      <c r="C12" s="4">
        <v>4.05</v>
      </c>
      <c r="D12" s="5">
        <v>6.2037037037037026E-3</v>
      </c>
      <c r="E12" s="6">
        <v>2.5150462962962961E-2</v>
      </c>
      <c r="F12" s="3" t="s">
        <v>25</v>
      </c>
      <c r="G12" s="8">
        <f>DATE(YEAR(RunLog[[#This Row],[Date]]),MONTH(RunLog[[#This Row],[Date]]),1)</f>
        <v>46174</v>
      </c>
      <c r="H12" s="9">
        <f>VALUE(_xlfn.TEXTBEFORE(RunLog[[#This Row],[Weather]],"°F"))</f>
        <v>88</v>
      </c>
      <c r="I12" t="str">
        <f>TRIM(_xlfn.TEXTAFTER(RunLog[[#This Row],[Weather]]," "))</f>
        <v>Partly cloudy</v>
      </c>
    </row>
    <row r="13" spans="1:12" x14ac:dyDescent="0.25">
      <c r="A13" s="2">
        <v>46196</v>
      </c>
      <c r="B13" s="3" t="s">
        <v>26</v>
      </c>
      <c r="C13" s="4">
        <v>2.98</v>
      </c>
      <c r="D13" s="5">
        <v>6.4930555555555557E-3</v>
      </c>
      <c r="E13" s="6">
        <v>1.9305555555555552E-2</v>
      </c>
      <c r="F13" s="3" t="s">
        <v>18</v>
      </c>
      <c r="G13" s="8">
        <f>DATE(YEAR(RunLog[[#This Row],[Date]]),MONTH(RunLog[[#This Row],[Date]]),1)</f>
        <v>46174</v>
      </c>
      <c r="H13" s="9">
        <f>VALUE(_xlfn.TEXTBEFORE(RunLog[[#This Row],[Weather]],"°F"))</f>
        <v>89</v>
      </c>
      <c r="I13" t="str">
        <f>TRIM(_xlfn.TEXTAFTER(RunLog[[#This Row],[Weather]]," "))</f>
        <v>Partly cloudy</v>
      </c>
    </row>
    <row r="14" spans="1:12" x14ac:dyDescent="0.25">
      <c r="A14" s="2">
        <v>46194</v>
      </c>
      <c r="B14" s="3" t="s">
        <v>27</v>
      </c>
      <c r="C14" s="4">
        <v>2.63</v>
      </c>
      <c r="D14" s="5">
        <v>5.6249999999999998E-3</v>
      </c>
      <c r="E14" s="6">
        <v>1.4756944444444441E-2</v>
      </c>
      <c r="F14" s="3" t="s">
        <v>28</v>
      </c>
      <c r="G14" s="8">
        <f>DATE(YEAR(RunLog[[#This Row],[Date]]),MONTH(RunLog[[#This Row],[Date]]),1)</f>
        <v>46174</v>
      </c>
      <c r="H14" s="9">
        <f>VALUE(_xlfn.TEXTBEFORE(RunLog[[#This Row],[Weather]],"°F"))</f>
        <v>86</v>
      </c>
      <c r="I14" t="str">
        <f>TRIM(_xlfn.TEXTAFTER(RunLog[[#This Row],[Weather]]," "))</f>
        <v>Drizzle</v>
      </c>
    </row>
    <row r="15" spans="1:12" x14ac:dyDescent="0.25">
      <c r="A15" s="2">
        <v>46193</v>
      </c>
      <c r="B15" s="3" t="s">
        <v>29</v>
      </c>
      <c r="C15" s="4">
        <v>2.9</v>
      </c>
      <c r="D15" s="5">
        <v>5.6712962962962967E-3</v>
      </c>
      <c r="E15" s="6">
        <v>1.6458333333333328E-2</v>
      </c>
      <c r="F15" s="3" t="s">
        <v>30</v>
      </c>
      <c r="G15" s="8">
        <f>DATE(YEAR(RunLog[[#This Row],[Date]]),MONTH(RunLog[[#This Row],[Date]]),1)</f>
        <v>46174</v>
      </c>
      <c r="H15" s="9">
        <f>VALUE(_xlfn.TEXTBEFORE(RunLog[[#This Row],[Weather]],"°F"))</f>
        <v>77</v>
      </c>
      <c r="I15" t="str">
        <f>TRIM(_xlfn.TEXTAFTER(RunLog[[#This Row],[Weather]]," "))</f>
        <v>Rain</v>
      </c>
    </row>
    <row r="16" spans="1:12" x14ac:dyDescent="0.25">
      <c r="A16" s="2">
        <v>46192</v>
      </c>
      <c r="B16" s="3" t="s">
        <v>31</v>
      </c>
      <c r="C16" s="4">
        <v>1.53</v>
      </c>
      <c r="D16" s="5">
        <v>5.347222222222222E-3</v>
      </c>
      <c r="E16" s="6">
        <v>8.1597222222222227E-3</v>
      </c>
      <c r="F16" s="3" t="s">
        <v>32</v>
      </c>
      <c r="G16" s="8">
        <f>DATE(YEAR(RunLog[[#This Row],[Date]]),MONTH(RunLog[[#This Row],[Date]]),1)</f>
        <v>46174</v>
      </c>
      <c r="H16" s="9">
        <f>VALUE(_xlfn.TEXTBEFORE(RunLog[[#This Row],[Weather]],"°F"))</f>
        <v>83</v>
      </c>
      <c r="I16" t="str">
        <f>TRIM(_xlfn.TEXTAFTER(RunLog[[#This Row],[Weather]]," "))</f>
        <v>Drizzle</v>
      </c>
    </row>
    <row r="17" spans="1:9" x14ac:dyDescent="0.25">
      <c r="A17" s="2">
        <v>46191</v>
      </c>
      <c r="B17" s="3" t="s">
        <v>33</v>
      </c>
      <c r="C17" s="4">
        <v>2.2599999999999998</v>
      </c>
      <c r="D17" s="5">
        <v>6.1342592592592586E-3</v>
      </c>
      <c r="E17" s="6">
        <v>1.3865740740740739E-2</v>
      </c>
      <c r="F17" s="3" t="s">
        <v>34</v>
      </c>
      <c r="G17" s="8">
        <f>DATE(YEAR(RunLog[[#This Row],[Date]]),MONTH(RunLog[[#This Row],[Date]]),1)</f>
        <v>46174</v>
      </c>
      <c r="H17" s="9">
        <f>VALUE(_xlfn.TEXTBEFORE(RunLog[[#This Row],[Weather]],"°F"))</f>
        <v>79</v>
      </c>
      <c r="I17" t="str">
        <f>TRIM(_xlfn.TEXTAFTER(RunLog[[#This Row],[Weather]]," "))</f>
        <v>Rain</v>
      </c>
    </row>
    <row r="18" spans="1:9" x14ac:dyDescent="0.25">
      <c r="A18" s="2">
        <v>46183</v>
      </c>
      <c r="B18" s="3" t="s">
        <v>12</v>
      </c>
      <c r="C18" s="4">
        <v>2.79</v>
      </c>
      <c r="D18" s="5">
        <v>6.6319444444444446E-3</v>
      </c>
      <c r="E18" s="6">
        <v>1.850694444444444E-2</v>
      </c>
      <c r="F18" s="3" t="s">
        <v>35</v>
      </c>
      <c r="G18" s="8">
        <f>DATE(YEAR(RunLog[[#This Row],[Date]]),MONTH(RunLog[[#This Row],[Date]]),1)</f>
        <v>46174</v>
      </c>
      <c r="H18" s="9">
        <f>VALUE(_xlfn.TEXTBEFORE(RunLog[[#This Row],[Weather]],"°F"))</f>
        <v>84</v>
      </c>
      <c r="I18" t="str">
        <f>TRIM(_xlfn.TEXTAFTER(RunLog[[#This Row],[Weather]]," "))</f>
        <v>Clear</v>
      </c>
    </row>
    <row r="19" spans="1:9" x14ac:dyDescent="0.25">
      <c r="A19" s="2">
        <v>46182</v>
      </c>
      <c r="B19" s="3" t="s">
        <v>36</v>
      </c>
      <c r="C19" s="4">
        <v>4.42</v>
      </c>
      <c r="D19" s="5">
        <v>5.9143518518518521E-3</v>
      </c>
      <c r="E19" s="6">
        <v>2.6180555555555551E-2</v>
      </c>
      <c r="F19" s="3" t="s">
        <v>15</v>
      </c>
      <c r="G19" s="8">
        <f>DATE(YEAR(RunLog[[#This Row],[Date]]),MONTH(RunLog[[#This Row],[Date]]),1)</f>
        <v>46174</v>
      </c>
      <c r="H19" s="9">
        <f>VALUE(_xlfn.TEXTBEFORE(RunLog[[#This Row],[Weather]],"°F"))</f>
        <v>83</v>
      </c>
      <c r="I19" t="str">
        <f>TRIM(_xlfn.TEXTAFTER(RunLog[[#This Row],[Weather]]," "))</f>
        <v>Partly cloudy</v>
      </c>
    </row>
    <row r="20" spans="1:9" x14ac:dyDescent="0.25">
      <c r="A20" s="2">
        <v>46181</v>
      </c>
      <c r="B20" s="3" t="s">
        <v>37</v>
      </c>
      <c r="C20" s="4">
        <v>2.97</v>
      </c>
      <c r="D20" s="5">
        <v>5.8796296296296296E-3</v>
      </c>
      <c r="E20" s="6">
        <v>1.7465277777777781E-2</v>
      </c>
      <c r="F20" s="3" t="s">
        <v>38</v>
      </c>
      <c r="G20" s="8">
        <f>DATE(YEAR(RunLog[[#This Row],[Date]]),MONTH(RunLog[[#This Row],[Date]]),1)</f>
        <v>46174</v>
      </c>
      <c r="H20" s="9">
        <f>VALUE(_xlfn.TEXTBEFORE(RunLog[[#This Row],[Weather]],"°F"))</f>
        <v>81</v>
      </c>
      <c r="I20" t="str">
        <f>TRIM(_xlfn.TEXTAFTER(RunLog[[#This Row],[Weather]]," "))</f>
        <v>Cloudy</v>
      </c>
    </row>
    <row r="21" spans="1:9" x14ac:dyDescent="0.25">
      <c r="A21" s="2">
        <v>46177</v>
      </c>
      <c r="B21" s="3" t="s">
        <v>39</v>
      </c>
      <c r="C21" s="4">
        <v>2.62</v>
      </c>
      <c r="D21" s="5">
        <v>6.3310185185185188E-3</v>
      </c>
      <c r="E21" s="6">
        <v>1.6574074074074071E-2</v>
      </c>
      <c r="F21" s="3" t="s">
        <v>40</v>
      </c>
      <c r="G21" s="8">
        <f>DATE(YEAR(RunLog[[#This Row],[Date]]),MONTH(RunLog[[#This Row],[Date]]),1)</f>
        <v>46174</v>
      </c>
      <c r="H21" s="9">
        <f>VALUE(_xlfn.TEXTBEFORE(RunLog[[#This Row],[Weather]],"°F"))</f>
        <v>80</v>
      </c>
      <c r="I21" t="str">
        <f>TRIM(_xlfn.TEXTAFTER(RunLog[[#This Row],[Weather]]," "))</f>
        <v>Cloudy</v>
      </c>
    </row>
    <row r="22" spans="1:9" x14ac:dyDescent="0.25">
      <c r="A22" s="2">
        <v>46176</v>
      </c>
      <c r="B22" s="3" t="s">
        <v>41</v>
      </c>
      <c r="C22" s="4">
        <v>4.5199999999999996</v>
      </c>
      <c r="D22" s="5">
        <v>6.1805555555555546E-3</v>
      </c>
      <c r="E22" s="6">
        <v>2.7905092592592589E-2</v>
      </c>
      <c r="F22" s="3" t="s">
        <v>42</v>
      </c>
      <c r="G22" s="8">
        <f>DATE(YEAR(RunLog[[#This Row],[Date]]),MONTH(RunLog[[#This Row],[Date]]),1)</f>
        <v>46174</v>
      </c>
      <c r="H22" s="9">
        <f>VALUE(_xlfn.TEXTBEFORE(RunLog[[#This Row],[Weather]],"°F"))</f>
        <v>79</v>
      </c>
      <c r="I22" t="str">
        <f>TRIM(_xlfn.TEXTAFTER(RunLog[[#This Row],[Weather]]," "))</f>
        <v>Cloudy</v>
      </c>
    </row>
    <row r="23" spans="1:9" x14ac:dyDescent="0.25">
      <c r="A23" s="2">
        <v>46170</v>
      </c>
      <c r="B23" s="3" t="s">
        <v>14</v>
      </c>
      <c r="C23" s="4">
        <v>4.54</v>
      </c>
      <c r="D23" s="5">
        <v>6.0185185185185194E-3</v>
      </c>
      <c r="E23" s="6">
        <v>2.736111111111111E-2</v>
      </c>
      <c r="F23" s="3" t="s">
        <v>38</v>
      </c>
      <c r="G23" s="8">
        <f>DATE(YEAR(RunLog[[#This Row],[Date]]),MONTH(RunLog[[#This Row],[Date]]),1)</f>
        <v>46143</v>
      </c>
      <c r="H23" s="9">
        <f>VALUE(_xlfn.TEXTBEFORE(RunLog[[#This Row],[Weather]],"°F"))</f>
        <v>81</v>
      </c>
      <c r="I23" t="str">
        <f>TRIM(_xlfn.TEXTAFTER(RunLog[[#This Row],[Weather]]," "))</f>
        <v>Cloudy</v>
      </c>
    </row>
    <row r="24" spans="1:9" x14ac:dyDescent="0.25">
      <c r="A24" s="2">
        <v>46169</v>
      </c>
      <c r="B24" s="3" t="s">
        <v>43</v>
      </c>
      <c r="C24" s="4">
        <v>4.0599999999999996</v>
      </c>
      <c r="D24" s="5">
        <v>6.2500000000000003E-3</v>
      </c>
      <c r="E24" s="6">
        <v>2.539351851851852E-2</v>
      </c>
      <c r="F24" s="3" t="s">
        <v>38</v>
      </c>
      <c r="G24" s="8">
        <f>DATE(YEAR(RunLog[[#This Row],[Date]]),MONTH(RunLog[[#This Row],[Date]]),1)</f>
        <v>46143</v>
      </c>
      <c r="H24" s="9">
        <f>VALUE(_xlfn.TEXTBEFORE(RunLog[[#This Row],[Weather]],"°F"))</f>
        <v>81</v>
      </c>
      <c r="I24" t="str">
        <f>TRIM(_xlfn.TEXTAFTER(RunLog[[#This Row],[Weather]]," "))</f>
        <v>Cloudy</v>
      </c>
    </row>
    <row r="25" spans="1:9" x14ac:dyDescent="0.25">
      <c r="A25" s="2">
        <v>46166</v>
      </c>
      <c r="B25" s="3" t="s">
        <v>44</v>
      </c>
      <c r="C25" s="4">
        <v>4.1399999999999997</v>
      </c>
      <c r="D25" s="5">
        <v>6.2152777777777779E-3</v>
      </c>
      <c r="E25" s="6">
        <v>2.5763888888888892E-2</v>
      </c>
      <c r="F25" s="3" t="s">
        <v>45</v>
      </c>
      <c r="G25" s="8">
        <f>DATE(YEAR(RunLog[[#This Row],[Date]]),MONTH(RunLog[[#This Row],[Date]]),1)</f>
        <v>46143</v>
      </c>
      <c r="H25" s="9">
        <f>VALUE(_xlfn.TEXTBEFORE(RunLog[[#This Row],[Weather]],"°F"))</f>
        <v>76</v>
      </c>
      <c r="I25" t="str">
        <f>TRIM(_xlfn.TEXTAFTER(RunLog[[#This Row],[Weather]]," "))</f>
        <v>Rain</v>
      </c>
    </row>
    <row r="26" spans="1:9" x14ac:dyDescent="0.25">
      <c r="A26" s="2">
        <v>46161</v>
      </c>
      <c r="B26" s="3" t="s">
        <v>46</v>
      </c>
      <c r="C26" s="4">
        <v>2.81</v>
      </c>
      <c r="D26" s="5">
        <v>6.0069444444444441E-3</v>
      </c>
      <c r="E26" s="6">
        <v>1.6863425925925931E-2</v>
      </c>
      <c r="F26" s="3" t="s">
        <v>47</v>
      </c>
      <c r="G26" s="8">
        <f>DATE(YEAR(RunLog[[#This Row],[Date]]),MONTH(RunLog[[#This Row],[Date]]),1)</f>
        <v>46143</v>
      </c>
      <c r="H26" s="9">
        <f>VALUE(_xlfn.TEXTBEFORE(RunLog[[#This Row],[Weather]],"°F"))</f>
        <v>80</v>
      </c>
      <c r="I26" t="str">
        <f>TRIM(_xlfn.TEXTAFTER(RunLog[[#This Row],[Weather]]," "))</f>
        <v>Partly cloudy</v>
      </c>
    </row>
    <row r="27" spans="1:9" x14ac:dyDescent="0.25">
      <c r="A27" s="2">
        <v>46160</v>
      </c>
      <c r="B27" s="3" t="s">
        <v>48</v>
      </c>
      <c r="C27" s="4">
        <v>4.34</v>
      </c>
      <c r="D27" s="5">
        <v>6.3194444444444444E-3</v>
      </c>
      <c r="E27" s="6">
        <v>2.7407407407407412E-2</v>
      </c>
      <c r="F27" s="3" t="s">
        <v>49</v>
      </c>
      <c r="G27" s="8">
        <f>DATE(YEAR(RunLog[[#This Row],[Date]]),MONTH(RunLog[[#This Row],[Date]]),1)</f>
        <v>46143</v>
      </c>
      <c r="H27" s="9">
        <f>VALUE(_xlfn.TEXTBEFORE(RunLog[[#This Row],[Weather]],"°F"))</f>
        <v>81</v>
      </c>
      <c r="I27" t="str">
        <f>TRIM(_xlfn.TEXTAFTER(RunLog[[#This Row],[Weather]]," "))</f>
        <v>Clear</v>
      </c>
    </row>
    <row r="28" spans="1:9" x14ac:dyDescent="0.25">
      <c r="A28" s="2">
        <v>46159</v>
      </c>
      <c r="B28" s="3" t="s">
        <v>50</v>
      </c>
      <c r="C28" s="4">
        <v>4.46</v>
      </c>
      <c r="D28" s="5">
        <v>6.1111111111111114E-3</v>
      </c>
      <c r="E28" s="6">
        <v>2.7222222222222221E-2</v>
      </c>
      <c r="F28" s="3" t="s">
        <v>51</v>
      </c>
      <c r="G28" s="8">
        <f>DATE(YEAR(RunLog[[#This Row],[Date]]),MONTH(RunLog[[#This Row],[Date]]),1)</f>
        <v>46143</v>
      </c>
      <c r="H28" s="9">
        <f>VALUE(_xlfn.TEXTBEFORE(RunLog[[#This Row],[Weather]],"°F"))</f>
        <v>80</v>
      </c>
      <c r="I28" t="str">
        <f>TRIM(_xlfn.TEXTAFTER(RunLog[[#This Row],[Weather]]," "))</f>
        <v>Drizzle</v>
      </c>
    </row>
    <row r="29" spans="1:9" x14ac:dyDescent="0.25">
      <c r="A29" s="2">
        <v>46148</v>
      </c>
      <c r="B29" s="3" t="s">
        <v>52</v>
      </c>
      <c r="C29" s="4">
        <v>4.18</v>
      </c>
      <c r="D29" s="5">
        <v>6.6435185185185182E-3</v>
      </c>
      <c r="E29" s="6">
        <v>2.778935185185185E-2</v>
      </c>
      <c r="F29" s="3" t="s">
        <v>53</v>
      </c>
      <c r="G29" s="8">
        <f>DATE(YEAR(RunLog[[#This Row],[Date]]),MONTH(RunLog[[#This Row],[Date]]),1)</f>
        <v>46143</v>
      </c>
      <c r="H29" s="9">
        <f>VALUE(_xlfn.TEXTBEFORE(RunLog[[#This Row],[Weather]],"°F"))</f>
        <v>78</v>
      </c>
      <c r="I29" t="str">
        <f>TRIM(_xlfn.TEXTAFTER(RunLog[[#This Row],[Weather]]," "))</f>
        <v>Cloudy</v>
      </c>
    </row>
    <row r="30" spans="1:9" x14ac:dyDescent="0.25">
      <c r="A30" s="2">
        <v>46147</v>
      </c>
      <c r="B30" s="3" t="s">
        <v>54</v>
      </c>
      <c r="C30" s="4">
        <v>3.98</v>
      </c>
      <c r="D30" s="5">
        <v>6.4467592592592588E-3</v>
      </c>
      <c r="E30" s="6">
        <v>2.569444444444444E-2</v>
      </c>
      <c r="F30" s="3" t="s">
        <v>55</v>
      </c>
      <c r="G30" s="8">
        <f>DATE(YEAR(RunLog[[#This Row],[Date]]),MONTH(RunLog[[#This Row],[Date]]),1)</f>
        <v>46143</v>
      </c>
      <c r="H30" s="9">
        <f>VALUE(_xlfn.TEXTBEFORE(RunLog[[#This Row],[Weather]],"°F"))</f>
        <v>76</v>
      </c>
      <c r="I30" t="str">
        <f>TRIM(_xlfn.TEXTAFTER(RunLog[[#This Row],[Weather]]," "))</f>
        <v>Cloudy</v>
      </c>
    </row>
    <row r="31" spans="1:9" x14ac:dyDescent="0.25">
      <c r="A31" s="2">
        <v>46141</v>
      </c>
      <c r="B31" s="3" t="s">
        <v>56</v>
      </c>
      <c r="C31" s="4">
        <v>3.97</v>
      </c>
      <c r="D31" s="5">
        <v>6.7476851851851864E-3</v>
      </c>
      <c r="E31" s="6">
        <v>2.675925925925926E-2</v>
      </c>
      <c r="F31" s="3" t="s">
        <v>57</v>
      </c>
      <c r="G31" s="8">
        <f>DATE(YEAR(RunLog[[#This Row],[Date]]),MONTH(RunLog[[#This Row],[Date]]),1)</f>
        <v>46113</v>
      </c>
      <c r="H31" s="9">
        <f>VALUE(_xlfn.TEXTBEFORE(RunLog[[#This Row],[Weather]],"°F"))</f>
        <v>84</v>
      </c>
      <c r="I31" t="str">
        <f>TRIM(_xlfn.TEXTAFTER(RunLog[[#This Row],[Weather]]," "))</f>
        <v>Cloudy</v>
      </c>
    </row>
    <row r="32" spans="1:9" x14ac:dyDescent="0.25">
      <c r="A32" s="2">
        <v>46140</v>
      </c>
      <c r="B32" s="3" t="s">
        <v>58</v>
      </c>
      <c r="C32" s="4">
        <v>2.74</v>
      </c>
      <c r="D32" s="5">
        <v>6.0416666666666674E-3</v>
      </c>
      <c r="E32" s="6">
        <v>1.653935185185185E-2</v>
      </c>
      <c r="F32" s="3" t="s">
        <v>40</v>
      </c>
      <c r="G32" s="8">
        <f>DATE(YEAR(RunLog[[#This Row],[Date]]),MONTH(RunLog[[#This Row],[Date]]),1)</f>
        <v>46113</v>
      </c>
      <c r="H32" s="9">
        <f>VALUE(_xlfn.TEXTBEFORE(RunLog[[#This Row],[Weather]],"°F"))</f>
        <v>80</v>
      </c>
      <c r="I32" t="str">
        <f>TRIM(_xlfn.TEXTAFTER(RunLog[[#This Row],[Weather]]," "))</f>
        <v>Cloudy</v>
      </c>
    </row>
    <row r="33" spans="1:9" x14ac:dyDescent="0.25">
      <c r="A33" s="2">
        <v>46139</v>
      </c>
      <c r="B33" s="3" t="s">
        <v>59</v>
      </c>
      <c r="C33" s="4">
        <v>5.62</v>
      </c>
      <c r="D33" s="5">
        <v>6.0416666666666674E-3</v>
      </c>
      <c r="E33" s="6">
        <v>3.3993055555555547E-2</v>
      </c>
      <c r="F33" s="3" t="s">
        <v>60</v>
      </c>
      <c r="G33" s="8">
        <f>DATE(YEAR(RunLog[[#This Row],[Date]]),MONTH(RunLog[[#This Row],[Date]]),1)</f>
        <v>46113</v>
      </c>
      <c r="H33" s="9">
        <f>VALUE(_xlfn.TEXTBEFORE(RunLog[[#This Row],[Weather]],"°F"))</f>
        <v>82</v>
      </c>
      <c r="I33" t="str">
        <f>TRIM(_xlfn.TEXTAFTER(RunLog[[#This Row],[Weather]]," "))</f>
        <v>Clear</v>
      </c>
    </row>
    <row r="34" spans="1:9" x14ac:dyDescent="0.25">
      <c r="A34" s="2">
        <v>46136</v>
      </c>
      <c r="B34" s="3" t="s">
        <v>43</v>
      </c>
      <c r="C34" s="4">
        <v>1.7</v>
      </c>
      <c r="D34" s="5">
        <v>6.5046296296296293E-3</v>
      </c>
      <c r="E34" s="6">
        <v>1.1064814814814821E-2</v>
      </c>
      <c r="F34" s="3" t="s">
        <v>55</v>
      </c>
      <c r="G34" s="8">
        <f>DATE(YEAR(RunLog[[#This Row],[Date]]),MONTH(RunLog[[#This Row],[Date]]),1)</f>
        <v>46113</v>
      </c>
      <c r="H34" s="9">
        <f>VALUE(_xlfn.TEXTBEFORE(RunLog[[#This Row],[Weather]],"°F"))</f>
        <v>76</v>
      </c>
      <c r="I34" t="str">
        <f>TRIM(_xlfn.TEXTAFTER(RunLog[[#This Row],[Weather]]," "))</f>
        <v>Cloudy</v>
      </c>
    </row>
    <row r="35" spans="1:9" x14ac:dyDescent="0.25">
      <c r="A35" s="2">
        <v>46135</v>
      </c>
      <c r="B35" s="3" t="s">
        <v>61</v>
      </c>
      <c r="C35" s="4">
        <v>4.43</v>
      </c>
      <c r="D35" s="5">
        <v>6.7013888888888887E-3</v>
      </c>
      <c r="E35" s="6">
        <v>2.9699074074074079E-2</v>
      </c>
      <c r="F35" s="3" t="s">
        <v>62</v>
      </c>
      <c r="G35" s="8">
        <f>DATE(YEAR(RunLog[[#This Row],[Date]]),MONTH(RunLog[[#This Row],[Date]]),1)</f>
        <v>46113</v>
      </c>
      <c r="H35" s="9">
        <f>VALUE(_xlfn.TEXTBEFORE(RunLog[[#This Row],[Weather]],"°F"))</f>
        <v>77</v>
      </c>
      <c r="I35" t="str">
        <f>TRIM(_xlfn.TEXTAFTER(RunLog[[#This Row],[Weather]]," "))</f>
        <v>Partly cloudy</v>
      </c>
    </row>
    <row r="36" spans="1:9" x14ac:dyDescent="0.25">
      <c r="A36" s="2">
        <v>46134</v>
      </c>
      <c r="B36" s="3" t="s">
        <v>63</v>
      </c>
      <c r="C36" s="4">
        <v>4.58</v>
      </c>
      <c r="D36" s="5">
        <v>5.9490740740740754E-3</v>
      </c>
      <c r="E36" s="6">
        <v>2.7256944444444441E-2</v>
      </c>
      <c r="F36" s="3" t="s">
        <v>64</v>
      </c>
      <c r="G36" s="8">
        <f>DATE(YEAR(RunLog[[#This Row],[Date]]),MONTH(RunLog[[#This Row],[Date]]),1)</f>
        <v>46113</v>
      </c>
      <c r="H36" s="9">
        <f>VALUE(_xlfn.TEXTBEFORE(RunLog[[#This Row],[Weather]],"°F"))</f>
        <v>78</v>
      </c>
      <c r="I36" t="str">
        <f>TRIM(_xlfn.TEXTAFTER(RunLog[[#This Row],[Weather]]," "))</f>
        <v>Partly cloudy</v>
      </c>
    </row>
    <row r="37" spans="1:9" x14ac:dyDescent="0.25">
      <c r="A37" s="2">
        <v>46133</v>
      </c>
      <c r="B37" s="3" t="s">
        <v>65</v>
      </c>
      <c r="C37" s="4">
        <v>4.54</v>
      </c>
      <c r="D37" s="5">
        <v>6.030092592592593E-3</v>
      </c>
      <c r="E37" s="6">
        <v>2.7395833333333331E-2</v>
      </c>
      <c r="F37" s="3" t="s">
        <v>66</v>
      </c>
      <c r="G37" s="8">
        <f>DATE(YEAR(RunLog[[#This Row],[Date]]),MONTH(RunLog[[#This Row],[Date]]),1)</f>
        <v>46113</v>
      </c>
      <c r="H37" s="9">
        <f>VALUE(_xlfn.TEXTBEFORE(RunLog[[#This Row],[Weather]],"°F"))</f>
        <v>75</v>
      </c>
      <c r="I37" t="str">
        <f>TRIM(_xlfn.TEXTAFTER(RunLog[[#This Row],[Weather]]," "))</f>
        <v>Cloudy</v>
      </c>
    </row>
    <row r="38" spans="1:9" x14ac:dyDescent="0.25">
      <c r="A38" s="2">
        <v>46128</v>
      </c>
      <c r="B38" s="3" t="s">
        <v>67</v>
      </c>
      <c r="C38" s="4">
        <v>2.99</v>
      </c>
      <c r="D38" s="5">
        <v>5.8217592592592592E-3</v>
      </c>
      <c r="E38" s="6">
        <v>1.743055555555556E-2</v>
      </c>
      <c r="F38" s="3" t="s">
        <v>47</v>
      </c>
      <c r="G38" s="8">
        <f>DATE(YEAR(RunLog[[#This Row],[Date]]),MONTH(RunLog[[#This Row],[Date]]),1)</f>
        <v>46113</v>
      </c>
      <c r="H38" s="9">
        <f>VALUE(_xlfn.TEXTBEFORE(RunLog[[#This Row],[Weather]],"°F"))</f>
        <v>80</v>
      </c>
      <c r="I38" t="str">
        <f>TRIM(_xlfn.TEXTAFTER(RunLog[[#This Row],[Weather]]," "))</f>
        <v>Partly cloudy</v>
      </c>
    </row>
    <row r="39" spans="1:9" x14ac:dyDescent="0.25">
      <c r="A39" s="2">
        <v>46127</v>
      </c>
      <c r="B39" s="3" t="s">
        <v>68</v>
      </c>
      <c r="C39" s="4">
        <v>5.64</v>
      </c>
      <c r="D39" s="5">
        <v>9.4675925925925934E-3</v>
      </c>
      <c r="E39" s="6">
        <v>5.3402777777777778E-2</v>
      </c>
      <c r="F39" s="3" t="s">
        <v>38</v>
      </c>
      <c r="G39" s="8">
        <f>DATE(YEAR(RunLog[[#This Row],[Date]]),MONTH(RunLog[[#This Row],[Date]]),1)</f>
        <v>46113</v>
      </c>
      <c r="H39" s="9">
        <f>VALUE(_xlfn.TEXTBEFORE(RunLog[[#This Row],[Weather]],"°F"))</f>
        <v>81</v>
      </c>
      <c r="I39" t="str">
        <f>TRIM(_xlfn.TEXTAFTER(RunLog[[#This Row],[Weather]]," "))</f>
        <v>Cloudy</v>
      </c>
    </row>
    <row r="40" spans="1:9" x14ac:dyDescent="0.25">
      <c r="A40" s="2">
        <v>46127</v>
      </c>
      <c r="B40" s="3" t="s">
        <v>69</v>
      </c>
      <c r="C40" s="4">
        <v>1.23</v>
      </c>
      <c r="D40" s="5">
        <v>6.5624999999999998E-3</v>
      </c>
      <c r="E40" s="6">
        <v>8.0787037037037043E-3</v>
      </c>
      <c r="F40" s="3" t="s">
        <v>38</v>
      </c>
      <c r="G40" s="8">
        <f>DATE(YEAR(RunLog[[#This Row],[Date]]),MONTH(RunLog[[#This Row],[Date]]),1)</f>
        <v>46113</v>
      </c>
      <c r="H40" s="9">
        <f>VALUE(_xlfn.TEXTBEFORE(RunLog[[#This Row],[Weather]],"°F"))</f>
        <v>81</v>
      </c>
      <c r="I40" t="str">
        <f>TRIM(_xlfn.TEXTAFTER(RunLog[[#This Row],[Weather]]," "))</f>
        <v>Cloudy</v>
      </c>
    </row>
    <row r="41" spans="1:9" x14ac:dyDescent="0.25">
      <c r="A41" s="2">
        <v>46123</v>
      </c>
      <c r="B41" s="3" t="s">
        <v>70</v>
      </c>
      <c r="C41" s="4">
        <v>4.63</v>
      </c>
      <c r="D41" s="5">
        <v>6.4351851851851853E-3</v>
      </c>
      <c r="E41" s="6">
        <v>2.9768518518518521E-2</v>
      </c>
      <c r="F41" s="3" t="s">
        <v>71</v>
      </c>
      <c r="G41" s="8">
        <f>DATE(YEAR(RunLog[[#This Row],[Date]]),MONTH(RunLog[[#This Row],[Date]]),1)</f>
        <v>46113</v>
      </c>
      <c r="H41" s="9">
        <f>VALUE(_xlfn.TEXTBEFORE(RunLog[[#This Row],[Weather]],"°F"))</f>
        <v>78</v>
      </c>
      <c r="I41" t="str">
        <f>TRIM(_xlfn.TEXTAFTER(RunLog[[#This Row],[Weather]]," "))</f>
        <v>Clear</v>
      </c>
    </row>
    <row r="42" spans="1:9" x14ac:dyDescent="0.25">
      <c r="A42" s="2">
        <v>46120</v>
      </c>
      <c r="B42" s="3" t="s">
        <v>72</v>
      </c>
      <c r="C42" s="4">
        <v>4.54</v>
      </c>
      <c r="D42" s="5">
        <v>6.053240740740741E-3</v>
      </c>
      <c r="E42" s="6">
        <v>2.747685185185185E-2</v>
      </c>
      <c r="F42" s="3" t="s">
        <v>73</v>
      </c>
      <c r="G42" s="8">
        <f>DATE(YEAR(RunLog[[#This Row],[Date]]),MONTH(RunLog[[#This Row],[Date]]),1)</f>
        <v>46113</v>
      </c>
      <c r="H42" s="9">
        <f>VALUE(_xlfn.TEXTBEFORE(RunLog[[#This Row],[Weather]],"°F"))</f>
        <v>71</v>
      </c>
      <c r="I42" t="str">
        <f>TRIM(_xlfn.TEXTAFTER(RunLog[[#This Row],[Weather]]," "))</f>
        <v>Clear</v>
      </c>
    </row>
    <row r="43" spans="1:9" x14ac:dyDescent="0.25">
      <c r="A43" s="2">
        <v>46113</v>
      </c>
      <c r="B43" s="3" t="s">
        <v>74</v>
      </c>
      <c r="C43" s="4">
        <v>2.81</v>
      </c>
      <c r="D43" s="5">
        <v>6.2962962962962964E-3</v>
      </c>
      <c r="E43" s="6">
        <v>1.7696759259259259E-2</v>
      </c>
      <c r="F43" s="3" t="s">
        <v>51</v>
      </c>
      <c r="G43" s="8">
        <f>DATE(YEAR(RunLog[[#This Row],[Date]]),MONTH(RunLog[[#This Row],[Date]]),1)</f>
        <v>46113</v>
      </c>
      <c r="H43" s="9">
        <f>VALUE(_xlfn.TEXTBEFORE(RunLog[[#This Row],[Weather]],"°F"))</f>
        <v>80</v>
      </c>
      <c r="I43" t="str">
        <f>TRIM(_xlfn.TEXTAFTER(RunLog[[#This Row],[Weather]]," "))</f>
        <v>Drizzle</v>
      </c>
    </row>
    <row r="44" spans="1:9" x14ac:dyDescent="0.25">
      <c r="A44" s="2">
        <v>46112</v>
      </c>
      <c r="B44" s="3" t="s">
        <v>12</v>
      </c>
      <c r="C44" s="4">
        <v>4.58</v>
      </c>
      <c r="D44" s="5">
        <v>6.0879629629629634E-3</v>
      </c>
      <c r="E44" s="6">
        <v>2.7881944444444449E-2</v>
      </c>
      <c r="F44" s="3" t="s">
        <v>75</v>
      </c>
      <c r="G44" s="8">
        <f>DATE(YEAR(RunLog[[#This Row],[Date]]),MONTH(RunLog[[#This Row],[Date]]),1)</f>
        <v>46082</v>
      </c>
      <c r="H44" s="9">
        <f>VALUE(_xlfn.TEXTBEFORE(RunLog[[#This Row],[Weather]],"°F"))</f>
        <v>75</v>
      </c>
      <c r="I44" t="str">
        <f>TRIM(_xlfn.TEXTAFTER(RunLog[[#This Row],[Weather]]," "))</f>
        <v>Partly cloudy</v>
      </c>
    </row>
    <row r="45" spans="1:9" x14ac:dyDescent="0.25">
      <c r="A45" s="2">
        <v>46108</v>
      </c>
      <c r="B45" s="3" t="s">
        <v>76</v>
      </c>
      <c r="C45" s="4">
        <v>4.6100000000000003</v>
      </c>
      <c r="D45" s="5">
        <v>6.8055555555555551E-3</v>
      </c>
      <c r="E45" s="6">
        <v>3.1331018518518522E-2</v>
      </c>
      <c r="F45" s="3" t="s">
        <v>15</v>
      </c>
      <c r="G45" s="8">
        <f>DATE(YEAR(RunLog[[#This Row],[Date]]),MONTH(RunLog[[#This Row],[Date]]),1)</f>
        <v>46082</v>
      </c>
      <c r="H45" s="9">
        <f>VALUE(_xlfn.TEXTBEFORE(RunLog[[#This Row],[Weather]],"°F"))</f>
        <v>83</v>
      </c>
      <c r="I45" t="str">
        <f>TRIM(_xlfn.TEXTAFTER(RunLog[[#This Row],[Weather]]," "))</f>
        <v>Partly cloudy</v>
      </c>
    </row>
    <row r="46" spans="1:9" x14ac:dyDescent="0.25">
      <c r="A46" s="2">
        <v>46107</v>
      </c>
      <c r="B46" s="3" t="s">
        <v>77</v>
      </c>
      <c r="C46" s="4">
        <v>4.5999999999999996</v>
      </c>
      <c r="D46" s="5">
        <v>6.0185185185185194E-3</v>
      </c>
      <c r="E46" s="6">
        <v>2.7662037037037041E-2</v>
      </c>
      <c r="F46" s="3" t="s">
        <v>78</v>
      </c>
      <c r="G46" s="8">
        <f>DATE(YEAR(RunLog[[#This Row],[Date]]),MONTH(RunLog[[#This Row],[Date]]),1)</f>
        <v>46082</v>
      </c>
      <c r="H46" s="9">
        <f>VALUE(_xlfn.TEXTBEFORE(RunLog[[#This Row],[Weather]],"°F"))</f>
        <v>80</v>
      </c>
      <c r="I46" t="str">
        <f>TRIM(_xlfn.TEXTAFTER(RunLog[[#This Row],[Weather]]," "))</f>
        <v>Clear</v>
      </c>
    </row>
    <row r="47" spans="1:9" x14ac:dyDescent="0.25">
      <c r="A47" s="2">
        <v>46104</v>
      </c>
      <c r="B47" s="3" t="s">
        <v>41</v>
      </c>
      <c r="C47" s="4">
        <v>4.68</v>
      </c>
      <c r="D47" s="5">
        <v>6.1574074074074066E-3</v>
      </c>
      <c r="E47" s="6">
        <v>2.884259259259259E-2</v>
      </c>
      <c r="F47" s="3" t="s">
        <v>60</v>
      </c>
      <c r="G47" s="8">
        <f>DATE(YEAR(RunLog[[#This Row],[Date]]),MONTH(RunLog[[#This Row],[Date]]),1)</f>
        <v>46082</v>
      </c>
      <c r="H47" s="9">
        <f>VALUE(_xlfn.TEXTBEFORE(RunLog[[#This Row],[Weather]],"°F"))</f>
        <v>82</v>
      </c>
      <c r="I47" t="str">
        <f>TRIM(_xlfn.TEXTAFTER(RunLog[[#This Row],[Weather]]," "))</f>
        <v>Clear</v>
      </c>
    </row>
    <row r="48" spans="1:9" x14ac:dyDescent="0.25">
      <c r="A48" s="2">
        <v>46101</v>
      </c>
      <c r="B48" s="3" t="s">
        <v>79</v>
      </c>
      <c r="C48" s="4">
        <v>4.5599999999999996</v>
      </c>
      <c r="D48" s="5">
        <v>6.0648148148148154E-3</v>
      </c>
      <c r="E48" s="6">
        <v>2.763888888888889E-2</v>
      </c>
      <c r="F48" s="3" t="s">
        <v>73</v>
      </c>
      <c r="G48" s="8">
        <f>DATE(YEAR(RunLog[[#This Row],[Date]]),MONTH(RunLog[[#This Row],[Date]]),1)</f>
        <v>46082</v>
      </c>
      <c r="H48" s="9">
        <f>VALUE(_xlfn.TEXTBEFORE(RunLog[[#This Row],[Weather]],"°F"))</f>
        <v>71</v>
      </c>
      <c r="I48" t="str">
        <f>TRIM(_xlfn.TEXTAFTER(RunLog[[#This Row],[Weather]]," "))</f>
        <v>Clear</v>
      </c>
    </row>
    <row r="49" spans="1:9" x14ac:dyDescent="0.25">
      <c r="A49" s="2">
        <v>46098</v>
      </c>
      <c r="B49" s="3" t="s">
        <v>80</v>
      </c>
      <c r="C49" s="4">
        <v>4.63</v>
      </c>
      <c r="D49" s="5">
        <v>6.2847222222222219E-3</v>
      </c>
      <c r="E49" s="6">
        <v>2.9108796296296299E-2</v>
      </c>
      <c r="F49" s="3" t="s">
        <v>81</v>
      </c>
      <c r="G49" s="8">
        <f>DATE(YEAR(RunLog[[#This Row],[Date]]),MONTH(RunLog[[#This Row],[Date]]),1)</f>
        <v>46082</v>
      </c>
      <c r="H49" s="9">
        <f>VALUE(_xlfn.TEXTBEFORE(RunLog[[#This Row],[Weather]],"°F"))</f>
        <v>53</v>
      </c>
      <c r="I49" t="str">
        <f>TRIM(_xlfn.TEXTAFTER(RunLog[[#This Row],[Weather]]," "))</f>
        <v>Clear</v>
      </c>
    </row>
    <row r="50" spans="1:9" x14ac:dyDescent="0.25">
      <c r="A50" s="2">
        <v>46094</v>
      </c>
      <c r="B50" s="3" t="s">
        <v>82</v>
      </c>
      <c r="C50" s="4">
        <v>2.94</v>
      </c>
      <c r="D50" s="5">
        <v>5.6944444444444447E-3</v>
      </c>
      <c r="E50" s="6">
        <v>1.6701388888888891E-2</v>
      </c>
      <c r="F50" s="3" t="s">
        <v>83</v>
      </c>
      <c r="G50" s="8">
        <f>DATE(YEAR(RunLog[[#This Row],[Date]]),MONTH(RunLog[[#This Row],[Date]]),1)</f>
        <v>46082</v>
      </c>
      <c r="H50" s="9">
        <f>VALUE(_xlfn.TEXTBEFORE(RunLog[[#This Row],[Weather]],"°F"))</f>
        <v>70</v>
      </c>
      <c r="I50" t="str">
        <f>TRIM(_xlfn.TEXTAFTER(RunLog[[#This Row],[Weather]]," "))</f>
        <v>Partly cloudy</v>
      </c>
    </row>
    <row r="51" spans="1:9" x14ac:dyDescent="0.25">
      <c r="A51" s="2">
        <v>46092</v>
      </c>
      <c r="B51" s="3" t="s">
        <v>84</v>
      </c>
      <c r="C51" s="4">
        <v>2.99</v>
      </c>
      <c r="D51" s="5">
        <v>6.3194444444444444E-3</v>
      </c>
      <c r="E51" s="6">
        <v>1.8888888888888889E-2</v>
      </c>
      <c r="F51" s="3" t="s">
        <v>85</v>
      </c>
      <c r="G51" s="8">
        <f>DATE(YEAR(RunLog[[#This Row],[Date]]),MONTH(RunLog[[#This Row],[Date]]),1)</f>
        <v>46082</v>
      </c>
      <c r="H51" s="9">
        <f>VALUE(_xlfn.TEXTBEFORE(RunLog[[#This Row],[Weather]],"°F"))</f>
        <v>72</v>
      </c>
      <c r="I51" t="str">
        <f>TRIM(_xlfn.TEXTAFTER(RunLog[[#This Row],[Weather]]," "))</f>
        <v>Rain</v>
      </c>
    </row>
    <row r="52" spans="1:9" x14ac:dyDescent="0.25">
      <c r="A52" s="2">
        <v>46090</v>
      </c>
      <c r="B52" s="3" t="s">
        <v>86</v>
      </c>
      <c r="C52" s="4">
        <v>2.9</v>
      </c>
      <c r="D52" s="5">
        <v>6.5046296296296293E-3</v>
      </c>
      <c r="E52" s="6">
        <v>1.8900462962962959E-2</v>
      </c>
      <c r="F52" s="3" t="s">
        <v>87</v>
      </c>
      <c r="G52" s="8">
        <f>DATE(YEAR(RunLog[[#This Row],[Date]]),MONTH(RunLog[[#This Row],[Date]]),1)</f>
        <v>46082</v>
      </c>
      <c r="H52" s="9">
        <f>VALUE(_xlfn.TEXTBEFORE(RunLog[[#This Row],[Weather]],"°F"))</f>
        <v>77</v>
      </c>
      <c r="I52" t="str">
        <f>TRIM(_xlfn.TEXTAFTER(RunLog[[#This Row],[Weather]]," "))</f>
        <v>Cloudy</v>
      </c>
    </row>
    <row r="53" spans="1:9" x14ac:dyDescent="0.25">
      <c r="A53" s="2">
        <v>46088</v>
      </c>
      <c r="B53" s="3" t="s">
        <v>88</v>
      </c>
      <c r="C53" s="4">
        <v>3.01</v>
      </c>
      <c r="D53" s="5">
        <v>6.2847222222222219E-3</v>
      </c>
      <c r="E53" s="6">
        <v>1.891203703703704E-2</v>
      </c>
      <c r="F53" s="3" t="s">
        <v>62</v>
      </c>
      <c r="G53" s="8">
        <f>DATE(YEAR(RunLog[[#This Row],[Date]]),MONTH(RunLog[[#This Row],[Date]]),1)</f>
        <v>46082</v>
      </c>
      <c r="H53" s="9">
        <f>VALUE(_xlfn.TEXTBEFORE(RunLog[[#This Row],[Weather]],"°F"))</f>
        <v>77</v>
      </c>
      <c r="I53" t="str">
        <f>TRIM(_xlfn.TEXTAFTER(RunLog[[#This Row],[Weather]]," "))</f>
        <v>Partly cloudy</v>
      </c>
    </row>
    <row r="54" spans="1:9" x14ac:dyDescent="0.25">
      <c r="A54" s="2">
        <v>46087</v>
      </c>
      <c r="B54" s="3" t="s">
        <v>89</v>
      </c>
      <c r="C54" s="4">
        <v>3.05</v>
      </c>
      <c r="D54" s="5">
        <v>5.4861111111111109E-3</v>
      </c>
      <c r="E54" s="6">
        <v>1.6701388888888891E-2</v>
      </c>
      <c r="F54" s="3" t="s">
        <v>90</v>
      </c>
      <c r="G54" s="8">
        <f>DATE(YEAR(RunLog[[#This Row],[Date]]),MONTH(RunLog[[#This Row],[Date]]),1)</f>
        <v>46082</v>
      </c>
      <c r="H54" s="9">
        <f>VALUE(_xlfn.TEXTBEFORE(RunLog[[#This Row],[Weather]],"°F"))</f>
        <v>77</v>
      </c>
      <c r="I54" t="str">
        <f>TRIM(_xlfn.TEXTAFTER(RunLog[[#This Row],[Weather]]," "))</f>
        <v>Drizzle</v>
      </c>
    </row>
    <row r="55" spans="1:9" x14ac:dyDescent="0.25">
      <c r="A55" s="2">
        <v>46085</v>
      </c>
      <c r="B55" s="3" t="s">
        <v>91</v>
      </c>
      <c r="C55" s="4">
        <v>4.57</v>
      </c>
      <c r="D55" s="5">
        <v>6.2500000000000003E-3</v>
      </c>
      <c r="E55" s="6">
        <v>2.8576388888888891E-2</v>
      </c>
      <c r="F55" s="3" t="s">
        <v>87</v>
      </c>
      <c r="G55" s="8">
        <f>DATE(YEAR(RunLog[[#This Row],[Date]]),MONTH(RunLog[[#This Row],[Date]]),1)</f>
        <v>46082</v>
      </c>
      <c r="H55" s="9">
        <f>VALUE(_xlfn.TEXTBEFORE(RunLog[[#This Row],[Weather]],"°F"))</f>
        <v>77</v>
      </c>
      <c r="I55" t="str">
        <f>TRIM(_xlfn.TEXTAFTER(RunLog[[#This Row],[Weather]]," "))</f>
        <v>Cloudy</v>
      </c>
    </row>
    <row r="56" spans="1:9" x14ac:dyDescent="0.25">
      <c r="A56" s="2">
        <v>46083</v>
      </c>
      <c r="B56" s="3" t="s">
        <v>92</v>
      </c>
      <c r="C56" s="4">
        <v>4.63</v>
      </c>
      <c r="D56" s="5">
        <v>6.4930555555555557E-3</v>
      </c>
      <c r="E56" s="6">
        <v>3.0081018518518521E-2</v>
      </c>
      <c r="F56" s="3" t="s">
        <v>93</v>
      </c>
      <c r="G56" s="8">
        <f>DATE(YEAR(RunLog[[#This Row],[Date]]),MONTH(RunLog[[#This Row],[Date]]),1)</f>
        <v>46082</v>
      </c>
      <c r="H56" s="9">
        <f>VALUE(_xlfn.TEXTBEFORE(RunLog[[#This Row],[Weather]],"°F"))</f>
        <v>76</v>
      </c>
      <c r="I56" t="str">
        <f>TRIM(_xlfn.TEXTAFTER(RunLog[[#This Row],[Weather]]," "))</f>
        <v>Clear</v>
      </c>
    </row>
    <row r="57" spans="1:9" x14ac:dyDescent="0.25">
      <c r="A57" s="2">
        <v>46081</v>
      </c>
      <c r="B57" s="3" t="s">
        <v>94</v>
      </c>
      <c r="C57" s="4">
        <v>3.61</v>
      </c>
      <c r="D57" s="5">
        <v>7.4652777777777781E-3</v>
      </c>
      <c r="E57" s="6">
        <v>2.6979166666666669E-2</v>
      </c>
      <c r="F57" s="3" t="s">
        <v>73</v>
      </c>
      <c r="G57" s="8">
        <f>DATE(YEAR(RunLog[[#This Row],[Date]]),MONTH(RunLog[[#This Row],[Date]]),1)</f>
        <v>46054</v>
      </c>
      <c r="H57" s="9">
        <f>VALUE(_xlfn.TEXTBEFORE(RunLog[[#This Row],[Weather]],"°F"))</f>
        <v>71</v>
      </c>
      <c r="I57" t="str">
        <f>TRIM(_xlfn.TEXTAFTER(RunLog[[#This Row],[Weather]]," "))</f>
        <v>Clear</v>
      </c>
    </row>
    <row r="58" spans="1:9" x14ac:dyDescent="0.25">
      <c r="A58" s="2">
        <v>46079</v>
      </c>
      <c r="B58" s="3" t="s">
        <v>95</v>
      </c>
      <c r="C58" s="4">
        <v>4.6100000000000003</v>
      </c>
      <c r="D58" s="5">
        <v>5.9722222222222234E-3</v>
      </c>
      <c r="E58" s="6">
        <v>2.7534722222222221E-2</v>
      </c>
      <c r="F58" s="3" t="s">
        <v>75</v>
      </c>
      <c r="G58" s="8">
        <f>DATE(YEAR(RunLog[[#This Row],[Date]]),MONTH(RunLog[[#This Row],[Date]]),1)</f>
        <v>46054</v>
      </c>
      <c r="H58" s="9">
        <f>VALUE(_xlfn.TEXTBEFORE(RunLog[[#This Row],[Weather]],"°F"))</f>
        <v>75</v>
      </c>
      <c r="I58" t="str">
        <f>TRIM(_xlfn.TEXTAFTER(RunLog[[#This Row],[Weather]]," "))</f>
        <v>Partly cloudy</v>
      </c>
    </row>
    <row r="59" spans="1:9" x14ac:dyDescent="0.25">
      <c r="A59" s="2">
        <v>46077</v>
      </c>
      <c r="B59" s="3" t="s">
        <v>96</v>
      </c>
      <c r="C59" s="4">
        <v>4.6100000000000003</v>
      </c>
      <c r="D59" s="5">
        <v>5.8333333333333336E-3</v>
      </c>
      <c r="E59" s="6">
        <v>2.6932870370370371E-2</v>
      </c>
      <c r="F59" s="3" t="s">
        <v>97</v>
      </c>
      <c r="G59" s="8">
        <f>DATE(YEAR(RunLog[[#This Row],[Date]]),MONTH(RunLog[[#This Row],[Date]]),1)</f>
        <v>46054</v>
      </c>
      <c r="H59" s="9">
        <f>VALUE(_xlfn.TEXTBEFORE(RunLog[[#This Row],[Weather]],"°F"))</f>
        <v>60</v>
      </c>
      <c r="I59" t="str">
        <f>TRIM(_xlfn.TEXTAFTER(RunLog[[#This Row],[Weather]]," "))</f>
        <v>Clear</v>
      </c>
    </row>
    <row r="60" spans="1:9" x14ac:dyDescent="0.25">
      <c r="A60" s="2">
        <v>46059</v>
      </c>
      <c r="B60" s="3" t="s">
        <v>59</v>
      </c>
      <c r="C60" s="4">
        <v>4.5199999999999996</v>
      </c>
      <c r="D60" s="5">
        <v>8.0208333333333329E-3</v>
      </c>
      <c r="E60" s="6">
        <v>3.6261574074074071E-2</v>
      </c>
      <c r="F60" s="3" t="s">
        <v>98</v>
      </c>
      <c r="G60" s="8">
        <f>DATE(YEAR(RunLog[[#This Row],[Date]]),MONTH(RunLog[[#This Row],[Date]]),1)</f>
        <v>46054</v>
      </c>
      <c r="H60" s="9">
        <f>VALUE(_xlfn.TEXTBEFORE(RunLog[[#This Row],[Weather]],"°F"))</f>
        <v>67</v>
      </c>
      <c r="I60" t="str">
        <f>TRIM(_xlfn.TEXTAFTER(RunLog[[#This Row],[Weather]]," "))</f>
        <v>Clear</v>
      </c>
    </row>
    <row r="61" spans="1:9" x14ac:dyDescent="0.25">
      <c r="A61" s="2">
        <v>46052</v>
      </c>
      <c r="B61" s="3" t="s">
        <v>99</v>
      </c>
      <c r="C61" s="4">
        <v>4.6100000000000003</v>
      </c>
      <c r="D61" s="5">
        <v>5.9722222222222234E-3</v>
      </c>
      <c r="E61" s="6">
        <v>2.7523148148148151E-2</v>
      </c>
      <c r="F61" s="3" t="s">
        <v>100</v>
      </c>
      <c r="G61" s="8">
        <f>DATE(YEAR(RunLog[[#This Row],[Date]]),MONTH(RunLog[[#This Row],[Date]]),1)</f>
        <v>46023</v>
      </c>
      <c r="H61" s="9">
        <f>VALUE(_xlfn.TEXTBEFORE(RunLog[[#This Row],[Weather]],"°F"))</f>
        <v>57</v>
      </c>
      <c r="I61" t="str">
        <f>TRIM(_xlfn.TEXTAFTER(RunLog[[#This Row],[Weather]]," "))</f>
        <v>Cloudy</v>
      </c>
    </row>
    <row r="62" spans="1:9" x14ac:dyDescent="0.25">
      <c r="A62" s="2">
        <v>46050</v>
      </c>
      <c r="B62" s="3" t="s">
        <v>95</v>
      </c>
      <c r="C62" s="4">
        <v>4.63</v>
      </c>
      <c r="D62" s="5">
        <v>6.122685185185185E-3</v>
      </c>
      <c r="E62" s="6">
        <v>2.8356481481481479E-2</v>
      </c>
      <c r="F62" s="3" t="s">
        <v>101</v>
      </c>
      <c r="G62" s="8">
        <f>DATE(YEAR(RunLog[[#This Row],[Date]]),MONTH(RunLog[[#This Row],[Date]]),1)</f>
        <v>46023</v>
      </c>
      <c r="H62" s="9">
        <f>VALUE(_xlfn.TEXTBEFORE(RunLog[[#This Row],[Weather]],"°F"))</f>
        <v>49</v>
      </c>
      <c r="I62" t="str">
        <f>TRIM(_xlfn.TEXTAFTER(RunLog[[#This Row],[Weather]]," "))</f>
        <v>Clear</v>
      </c>
    </row>
    <row r="63" spans="1:9" x14ac:dyDescent="0.25">
      <c r="A63" s="2">
        <v>46049</v>
      </c>
      <c r="B63" s="3" t="s">
        <v>102</v>
      </c>
      <c r="C63" s="4">
        <v>4.6100000000000003</v>
      </c>
      <c r="D63" s="5">
        <v>6.2731481481481484E-3</v>
      </c>
      <c r="E63" s="6">
        <v>2.886574074074074E-2</v>
      </c>
      <c r="F63" s="3" t="s">
        <v>103</v>
      </c>
      <c r="G63" s="8">
        <f>DATE(YEAR(RunLog[[#This Row],[Date]]),MONTH(RunLog[[#This Row],[Date]]),1)</f>
        <v>46023</v>
      </c>
      <c r="H63" s="9">
        <f>VALUE(_xlfn.TEXTBEFORE(RunLog[[#This Row],[Weather]],"°F"))</f>
        <v>41</v>
      </c>
      <c r="I63" t="str">
        <f>TRIM(_xlfn.TEXTAFTER(RunLog[[#This Row],[Weather]]," "))</f>
        <v>Clear</v>
      </c>
    </row>
    <row r="64" spans="1:9" x14ac:dyDescent="0.25">
      <c r="A64" s="2">
        <v>46044</v>
      </c>
      <c r="B64" s="3" t="s">
        <v>104</v>
      </c>
      <c r="C64" s="4">
        <v>4.66</v>
      </c>
      <c r="D64" s="5">
        <v>6.3425925925925924E-3</v>
      </c>
      <c r="E64" s="6">
        <v>2.958333333333333E-2</v>
      </c>
      <c r="F64" s="3" t="s">
        <v>83</v>
      </c>
      <c r="G64" s="8">
        <f>DATE(YEAR(RunLog[[#This Row],[Date]]),MONTH(RunLog[[#This Row],[Date]]),1)</f>
        <v>46023</v>
      </c>
      <c r="H64" s="9">
        <f>VALUE(_xlfn.TEXTBEFORE(RunLog[[#This Row],[Weather]],"°F"))</f>
        <v>70</v>
      </c>
      <c r="I64" t="str">
        <f>TRIM(_xlfn.TEXTAFTER(RunLog[[#This Row],[Weather]]," "))</f>
        <v>Partly cloudy</v>
      </c>
    </row>
    <row r="65" spans="1:9" x14ac:dyDescent="0.25">
      <c r="A65" s="2">
        <v>46043</v>
      </c>
      <c r="B65" s="3" t="s">
        <v>105</v>
      </c>
      <c r="C65" s="4">
        <v>2.97</v>
      </c>
      <c r="D65" s="5">
        <v>6.3078703703703708E-3</v>
      </c>
      <c r="E65" s="6">
        <v>1.8703703703703708E-2</v>
      </c>
      <c r="F65" s="3" t="s">
        <v>106</v>
      </c>
      <c r="G65" s="8">
        <f>DATE(YEAR(RunLog[[#This Row],[Date]]),MONTH(RunLog[[#This Row],[Date]]),1)</f>
        <v>46023</v>
      </c>
      <c r="H65" s="9">
        <f>VALUE(_xlfn.TEXTBEFORE(RunLog[[#This Row],[Weather]],"°F"))</f>
        <v>67</v>
      </c>
      <c r="I65" t="str">
        <f>TRIM(_xlfn.TEXTAFTER(RunLog[[#This Row],[Weather]]," "))</f>
        <v>Cloudy</v>
      </c>
    </row>
    <row r="66" spans="1:9" x14ac:dyDescent="0.25">
      <c r="A66" s="2">
        <v>46041</v>
      </c>
      <c r="B66" s="3" t="s">
        <v>107</v>
      </c>
      <c r="C66" s="4">
        <v>4.72</v>
      </c>
      <c r="D66" s="5">
        <v>6.6203703703703702E-3</v>
      </c>
      <c r="E66" s="6">
        <v>3.1284722222222221E-2</v>
      </c>
      <c r="F66" s="3" t="s">
        <v>108</v>
      </c>
      <c r="G66" s="8">
        <f>DATE(YEAR(RunLog[[#This Row],[Date]]),MONTH(RunLog[[#This Row],[Date]]),1)</f>
        <v>46023</v>
      </c>
      <c r="H66" s="9">
        <f>VALUE(_xlfn.TEXTBEFORE(RunLog[[#This Row],[Weather]],"°F"))</f>
        <v>54</v>
      </c>
      <c r="I66" t="str">
        <f>TRIM(_xlfn.TEXTAFTER(RunLog[[#This Row],[Weather]]," "))</f>
        <v>Clear</v>
      </c>
    </row>
    <row r="67" spans="1:9" x14ac:dyDescent="0.25">
      <c r="A67" s="2">
        <v>46036</v>
      </c>
      <c r="B67" s="3" t="s">
        <v>109</v>
      </c>
      <c r="C67" s="4">
        <v>2.9</v>
      </c>
      <c r="D67" s="5">
        <v>6.6898148148148151E-3</v>
      </c>
      <c r="E67" s="6">
        <v>1.938657407407407E-2</v>
      </c>
      <c r="F67" s="3" t="s">
        <v>110</v>
      </c>
      <c r="G67" s="8">
        <f>DATE(YEAR(RunLog[[#This Row],[Date]]),MONTH(RunLog[[#This Row],[Date]]),1)</f>
        <v>46023</v>
      </c>
      <c r="H67" s="9">
        <f>VALUE(_xlfn.TEXTBEFORE(RunLog[[#This Row],[Weather]],"°F"))</f>
        <v>66</v>
      </c>
      <c r="I67" t="str">
        <f>TRIM(_xlfn.TEXTAFTER(RunLog[[#This Row],[Weather]]," "))</f>
        <v>Cloudy</v>
      </c>
    </row>
    <row r="68" spans="1:9" x14ac:dyDescent="0.25">
      <c r="A68" s="2">
        <v>46008</v>
      </c>
      <c r="B68" s="3" t="s">
        <v>111</v>
      </c>
      <c r="C68" s="4">
        <v>4.68</v>
      </c>
      <c r="D68" s="5">
        <v>6.4004629629629628E-3</v>
      </c>
      <c r="E68" s="6">
        <v>2.9942129629629631E-2</v>
      </c>
      <c r="F68" s="3" t="s">
        <v>112</v>
      </c>
      <c r="G68" s="8">
        <f>DATE(YEAR(RunLog[[#This Row],[Date]]),MONTH(RunLog[[#This Row],[Date]]),1)</f>
        <v>45992</v>
      </c>
      <c r="H68" s="9">
        <f>VALUE(_xlfn.TEXTBEFORE(RunLog[[#This Row],[Weather]],"°F"))</f>
        <v>63</v>
      </c>
      <c r="I68" t="str">
        <f>TRIM(_xlfn.TEXTAFTER(RunLog[[#This Row],[Weather]]," "))</f>
        <v>Cloudy</v>
      </c>
    </row>
    <row r="69" spans="1:9" x14ac:dyDescent="0.25">
      <c r="A69" s="2">
        <v>46007</v>
      </c>
      <c r="B69" s="3" t="s">
        <v>109</v>
      </c>
      <c r="C69" s="4">
        <v>2.95</v>
      </c>
      <c r="D69" s="5">
        <v>5.9259259259259256E-3</v>
      </c>
      <c r="E69" s="6">
        <v>1.7476851851851851E-2</v>
      </c>
      <c r="F69" s="3" t="s">
        <v>113</v>
      </c>
      <c r="G69" s="8">
        <f>DATE(YEAR(RunLog[[#This Row],[Date]]),MONTH(RunLog[[#This Row],[Date]]),1)</f>
        <v>45992</v>
      </c>
      <c r="H69" s="9">
        <f>VALUE(_xlfn.TEXTBEFORE(RunLog[[#This Row],[Weather]],"°F"))</f>
        <v>62</v>
      </c>
      <c r="I69" t="str">
        <f>TRIM(_xlfn.TEXTAFTER(RunLog[[#This Row],[Weather]]," "))</f>
        <v>Cloudy</v>
      </c>
    </row>
    <row r="70" spans="1:9" x14ac:dyDescent="0.25">
      <c r="A70" s="2">
        <v>46002</v>
      </c>
      <c r="B70" s="3" t="s">
        <v>114</v>
      </c>
      <c r="C70" s="4">
        <v>3.02</v>
      </c>
      <c r="D70" s="5">
        <v>6.4699074074074077E-3</v>
      </c>
      <c r="E70" s="6">
        <v>1.951388888888889E-2</v>
      </c>
      <c r="F70" s="3" t="s">
        <v>115</v>
      </c>
      <c r="G70" s="8">
        <f>DATE(YEAR(RunLog[[#This Row],[Date]]),MONTH(RunLog[[#This Row],[Date]]),1)</f>
        <v>45992</v>
      </c>
      <c r="H70" s="9">
        <f>VALUE(_xlfn.TEXTBEFORE(RunLog[[#This Row],[Weather]],"°F"))</f>
        <v>58</v>
      </c>
      <c r="I70" t="str">
        <f>TRIM(_xlfn.TEXTAFTER(RunLog[[#This Row],[Weather]]," "))</f>
        <v>Clear</v>
      </c>
    </row>
    <row r="71" spans="1:9" x14ac:dyDescent="0.25">
      <c r="A71" s="2">
        <v>46001</v>
      </c>
      <c r="B71" s="3" t="s">
        <v>116</v>
      </c>
      <c r="C71" s="4">
        <v>2.93</v>
      </c>
      <c r="D71" s="5">
        <v>6.0416666666666674E-3</v>
      </c>
      <c r="E71" s="6">
        <v>1.7685185185185189E-2</v>
      </c>
      <c r="F71" s="3" t="s">
        <v>73</v>
      </c>
      <c r="G71" s="8">
        <f>DATE(YEAR(RunLog[[#This Row],[Date]]),MONTH(RunLog[[#This Row],[Date]]),1)</f>
        <v>45992</v>
      </c>
      <c r="H71" s="9">
        <f>VALUE(_xlfn.TEXTBEFORE(RunLog[[#This Row],[Weather]],"°F"))</f>
        <v>71</v>
      </c>
      <c r="I71" t="str">
        <f>TRIM(_xlfn.TEXTAFTER(RunLog[[#This Row],[Weather]]," "))</f>
        <v>Clear</v>
      </c>
    </row>
    <row r="72" spans="1:9" x14ac:dyDescent="0.25">
      <c r="A72" s="2">
        <v>45999</v>
      </c>
      <c r="B72" s="3" t="s">
        <v>117</v>
      </c>
      <c r="C72" s="4">
        <v>2.91</v>
      </c>
      <c r="D72" s="5">
        <v>5.9375000000000001E-3</v>
      </c>
      <c r="E72" s="6">
        <v>1.7256944444444439E-2</v>
      </c>
      <c r="F72" s="3" t="s">
        <v>118</v>
      </c>
      <c r="G72" s="8">
        <f>DATE(YEAR(RunLog[[#This Row],[Date]]),MONTH(RunLog[[#This Row],[Date]]),1)</f>
        <v>45992</v>
      </c>
      <c r="H72" s="9">
        <f>VALUE(_xlfn.TEXTBEFORE(RunLog[[#This Row],[Weather]],"°F"))</f>
        <v>56</v>
      </c>
      <c r="I72" t="str">
        <f>TRIM(_xlfn.TEXTAFTER(RunLog[[#This Row],[Weather]]," "))</f>
        <v>Cloudy</v>
      </c>
    </row>
    <row r="73" spans="1:9" x14ac:dyDescent="0.25">
      <c r="A73" s="2">
        <v>45989</v>
      </c>
      <c r="B73" s="3" t="s">
        <v>119</v>
      </c>
      <c r="C73" s="4">
        <v>4.6500000000000004</v>
      </c>
      <c r="D73" s="5">
        <v>6.1342592592592586E-3</v>
      </c>
      <c r="E73" s="6">
        <v>2.855324074074074E-2</v>
      </c>
      <c r="F73" s="3" t="s">
        <v>118</v>
      </c>
      <c r="G73" s="8">
        <f>DATE(YEAR(RunLog[[#This Row],[Date]]),MONTH(RunLog[[#This Row],[Date]]),1)</f>
        <v>45962</v>
      </c>
      <c r="H73" s="9">
        <f>VALUE(_xlfn.TEXTBEFORE(RunLog[[#This Row],[Weather]],"°F"))</f>
        <v>56</v>
      </c>
      <c r="I73" t="str">
        <f>TRIM(_xlfn.TEXTAFTER(RunLog[[#This Row],[Weather]]," "))</f>
        <v>Cloudy</v>
      </c>
    </row>
    <row r="74" spans="1:9" x14ac:dyDescent="0.25">
      <c r="A74" s="2">
        <v>45987</v>
      </c>
      <c r="B74" s="3" t="s">
        <v>120</v>
      </c>
      <c r="C74" s="4">
        <v>2.98</v>
      </c>
      <c r="D74" s="5">
        <v>6.3541666666666668E-3</v>
      </c>
      <c r="E74" s="6">
        <v>1.894675925925926E-2</v>
      </c>
      <c r="F74" s="3" t="s">
        <v>121</v>
      </c>
      <c r="G74" s="8">
        <f>DATE(YEAR(RunLog[[#This Row],[Date]]),MONTH(RunLog[[#This Row],[Date]]),1)</f>
        <v>45962</v>
      </c>
      <c r="H74" s="9">
        <f>VALUE(_xlfn.TEXTBEFORE(RunLog[[#This Row],[Weather]],"°F"))</f>
        <v>68</v>
      </c>
      <c r="I74" t="str">
        <f>TRIM(_xlfn.TEXTAFTER(RunLog[[#This Row],[Weather]]," "))</f>
        <v>Cloudy</v>
      </c>
    </row>
    <row r="75" spans="1:9" x14ac:dyDescent="0.25">
      <c r="A75" s="2">
        <v>45986</v>
      </c>
      <c r="B75" s="3" t="s">
        <v>122</v>
      </c>
      <c r="C75" s="4">
        <v>2.98</v>
      </c>
      <c r="D75" s="5">
        <v>6.1111111111111114E-3</v>
      </c>
      <c r="E75" s="6">
        <v>1.8229166666666671E-2</v>
      </c>
      <c r="F75" s="3" t="s">
        <v>123</v>
      </c>
      <c r="G75" s="8">
        <f>DATE(YEAR(RunLog[[#This Row],[Date]]),MONTH(RunLog[[#This Row],[Date]]),1)</f>
        <v>45962</v>
      </c>
      <c r="H75" s="9">
        <f>VALUE(_xlfn.TEXTBEFORE(RunLog[[#This Row],[Weather]],"°F"))</f>
        <v>79</v>
      </c>
      <c r="I75" t="str">
        <f>TRIM(_xlfn.TEXTAFTER(RunLog[[#This Row],[Weather]]," "))</f>
        <v>Drizzle</v>
      </c>
    </row>
    <row r="76" spans="1:9" x14ac:dyDescent="0.25">
      <c r="A76" s="2">
        <v>45984</v>
      </c>
      <c r="B76" s="3" t="s">
        <v>124</v>
      </c>
      <c r="C76" s="4">
        <v>2.92</v>
      </c>
      <c r="D76" s="5">
        <v>7.3842592592592597E-3</v>
      </c>
      <c r="E76" s="6">
        <v>2.1574074074074079E-2</v>
      </c>
      <c r="F76" s="3" t="s">
        <v>125</v>
      </c>
      <c r="G76" s="8">
        <f>DATE(YEAR(RunLog[[#This Row],[Date]]),MONTH(RunLog[[#This Row],[Date]]),1)</f>
        <v>45962</v>
      </c>
      <c r="H76" s="9">
        <f>VALUE(_xlfn.TEXTBEFORE(RunLog[[#This Row],[Weather]],"°F"))</f>
        <v>75</v>
      </c>
      <c r="I76" t="str">
        <f>TRIM(_xlfn.TEXTAFTER(RunLog[[#This Row],[Weather]]," "))</f>
        <v>Clear</v>
      </c>
    </row>
    <row r="77" spans="1:9" x14ac:dyDescent="0.25">
      <c r="A77" s="2">
        <v>45981</v>
      </c>
      <c r="B77" s="3" t="s">
        <v>126</v>
      </c>
      <c r="C77" s="4">
        <v>3.56</v>
      </c>
      <c r="D77" s="5">
        <v>6.1805555555555546E-3</v>
      </c>
      <c r="E77" s="6">
        <v>2.2002314814814811E-2</v>
      </c>
      <c r="F77" s="3" t="s">
        <v>127</v>
      </c>
      <c r="G77" s="8">
        <f>DATE(YEAR(RunLog[[#This Row],[Date]]),MONTH(RunLog[[#This Row],[Date]]),1)</f>
        <v>45962</v>
      </c>
      <c r="H77" s="9">
        <f>VALUE(_xlfn.TEXTBEFORE(RunLog[[#This Row],[Weather]],"°F"))</f>
        <v>79</v>
      </c>
      <c r="I77" t="str">
        <f>TRIM(_xlfn.TEXTAFTER(RunLog[[#This Row],[Weather]]," "))</f>
        <v>Clear</v>
      </c>
    </row>
    <row r="78" spans="1:9" x14ac:dyDescent="0.25">
      <c r="A78" s="2">
        <v>45980</v>
      </c>
      <c r="B78" s="3" t="s">
        <v>128</v>
      </c>
      <c r="C78" s="4">
        <v>2.98</v>
      </c>
      <c r="D78" s="5">
        <v>6.8171296296296296E-3</v>
      </c>
      <c r="E78" s="6">
        <v>2.027777777777778E-2</v>
      </c>
      <c r="F78" s="3" t="s">
        <v>53</v>
      </c>
      <c r="G78" s="8">
        <f>DATE(YEAR(RunLog[[#This Row],[Date]]),MONTH(RunLog[[#This Row],[Date]]),1)</f>
        <v>45962</v>
      </c>
      <c r="H78" s="9">
        <f>VALUE(_xlfn.TEXTBEFORE(RunLog[[#This Row],[Weather]],"°F"))</f>
        <v>78</v>
      </c>
      <c r="I78" t="str">
        <f>TRIM(_xlfn.TEXTAFTER(RunLog[[#This Row],[Weather]]," "))</f>
        <v>Cloudy</v>
      </c>
    </row>
    <row r="79" spans="1:9" x14ac:dyDescent="0.25">
      <c r="A79" s="2">
        <v>45978</v>
      </c>
      <c r="B79" s="3" t="s">
        <v>109</v>
      </c>
      <c r="C79" s="4">
        <v>3.01</v>
      </c>
      <c r="D79" s="5">
        <v>6.145833333333333E-3</v>
      </c>
      <c r="E79" s="6">
        <v>1.849537037037037E-2</v>
      </c>
      <c r="F79" s="3" t="s">
        <v>42</v>
      </c>
      <c r="G79" s="8">
        <f>DATE(YEAR(RunLog[[#This Row],[Date]]),MONTH(RunLog[[#This Row],[Date]]),1)</f>
        <v>45962</v>
      </c>
      <c r="H79" s="9">
        <f>VALUE(_xlfn.TEXTBEFORE(RunLog[[#This Row],[Weather]],"°F"))</f>
        <v>79</v>
      </c>
      <c r="I79" t="str">
        <f>TRIM(_xlfn.TEXTAFTER(RunLog[[#This Row],[Weather]]," "))</f>
        <v>Cloudy</v>
      </c>
    </row>
    <row r="80" spans="1:9" x14ac:dyDescent="0.25">
      <c r="A80" s="2">
        <v>45973</v>
      </c>
      <c r="B80" s="3" t="s">
        <v>129</v>
      </c>
      <c r="C80" s="4">
        <v>2.13</v>
      </c>
      <c r="D80" s="5">
        <v>6.7824074074074071E-3</v>
      </c>
      <c r="E80" s="6">
        <v>1.447916666666667E-2</v>
      </c>
      <c r="F80" s="3" t="s">
        <v>130</v>
      </c>
      <c r="G80" s="8">
        <f>DATE(YEAR(RunLog[[#This Row],[Date]]),MONTH(RunLog[[#This Row],[Date]]),1)</f>
        <v>45962</v>
      </c>
      <c r="H80" s="9">
        <f>VALUE(_xlfn.TEXTBEFORE(RunLog[[#This Row],[Weather]],"°F"))</f>
        <v>70</v>
      </c>
      <c r="I80" t="str">
        <f>TRIM(_xlfn.TEXTAFTER(RunLog[[#This Row],[Weather]]," "))</f>
        <v>Clear</v>
      </c>
    </row>
    <row r="81" spans="1:9" x14ac:dyDescent="0.25">
      <c r="A81" s="2">
        <v>45965</v>
      </c>
      <c r="B81" s="3" t="s">
        <v>131</v>
      </c>
      <c r="C81" s="4">
        <v>2.96</v>
      </c>
      <c r="D81" s="5">
        <v>6.0185185185185194E-3</v>
      </c>
      <c r="E81" s="6">
        <v>1.7824074074074079E-2</v>
      </c>
      <c r="F81" s="3" t="s">
        <v>132</v>
      </c>
      <c r="G81" s="8">
        <f>DATE(YEAR(RunLog[[#This Row],[Date]]),MONTH(RunLog[[#This Row],[Date]]),1)</f>
        <v>45962</v>
      </c>
      <c r="H81" s="9">
        <f>VALUE(_xlfn.TEXTBEFORE(RunLog[[#This Row],[Weather]],"°F"))</f>
        <v>69</v>
      </c>
      <c r="I81" t="str">
        <f>TRIM(_xlfn.TEXTAFTER(RunLog[[#This Row],[Weather]]," "))</f>
        <v>Clear</v>
      </c>
    </row>
    <row r="82" spans="1:9" x14ac:dyDescent="0.25">
      <c r="A82" s="2">
        <v>45964</v>
      </c>
      <c r="B82" s="3" t="s">
        <v>133</v>
      </c>
      <c r="C82" s="4">
        <v>2.99</v>
      </c>
      <c r="D82" s="5">
        <v>5.6481481481481478E-3</v>
      </c>
      <c r="E82" s="6">
        <v>1.6886574074074071E-2</v>
      </c>
      <c r="F82" s="3" t="s">
        <v>134</v>
      </c>
      <c r="G82" s="8">
        <f>DATE(YEAR(RunLog[[#This Row],[Date]]),MONTH(RunLog[[#This Row],[Date]]),1)</f>
        <v>45962</v>
      </c>
      <c r="H82" s="9">
        <f>VALUE(_xlfn.TEXTBEFORE(RunLog[[#This Row],[Weather]],"°F"))</f>
        <v>65</v>
      </c>
      <c r="I82" t="str">
        <f>TRIM(_xlfn.TEXTAFTER(RunLog[[#This Row],[Weather]]," "))</f>
        <v>Clear</v>
      </c>
    </row>
    <row r="83" spans="1:9" x14ac:dyDescent="0.25">
      <c r="A83" s="2">
        <v>45960</v>
      </c>
      <c r="B83" s="3" t="s">
        <v>135</v>
      </c>
      <c r="C83" s="4">
        <v>3</v>
      </c>
      <c r="D83" s="5">
        <v>6.2731481481481484E-3</v>
      </c>
      <c r="E83" s="6">
        <v>1.8854166666666668E-2</v>
      </c>
      <c r="F83" s="3" t="s">
        <v>136</v>
      </c>
      <c r="G83" s="8">
        <f>DATE(YEAR(RunLog[[#This Row],[Date]]),MONTH(RunLog[[#This Row],[Date]]),1)</f>
        <v>45931</v>
      </c>
      <c r="H83" s="9">
        <f>VALUE(_xlfn.TEXTBEFORE(RunLog[[#This Row],[Weather]],"°F"))</f>
        <v>59</v>
      </c>
      <c r="I83" t="str">
        <f>TRIM(_xlfn.TEXTAFTER(RunLog[[#This Row],[Weather]]," "))</f>
        <v>Clear</v>
      </c>
    </row>
    <row r="84" spans="1:9" x14ac:dyDescent="0.25">
      <c r="A84" s="2">
        <v>45959</v>
      </c>
      <c r="B84" s="3" t="s">
        <v>137</v>
      </c>
      <c r="C84" s="4">
        <v>2.98</v>
      </c>
      <c r="D84" s="5">
        <v>6.4814814814814813E-3</v>
      </c>
      <c r="E84" s="6">
        <v>1.9340277777777779E-2</v>
      </c>
      <c r="F84" s="3" t="s">
        <v>138</v>
      </c>
      <c r="G84" s="8">
        <f>DATE(YEAR(RunLog[[#This Row],[Date]]),MONTH(RunLog[[#This Row],[Date]]),1)</f>
        <v>45931</v>
      </c>
      <c r="H84" s="9">
        <f>VALUE(_xlfn.TEXTBEFORE(RunLog[[#This Row],[Weather]],"°F"))</f>
        <v>61</v>
      </c>
      <c r="I84" t="str">
        <f>TRIM(_xlfn.TEXTAFTER(RunLog[[#This Row],[Weather]]," "))</f>
        <v>Partly cloudy</v>
      </c>
    </row>
    <row r="85" spans="1:9" x14ac:dyDescent="0.25">
      <c r="A85" s="2">
        <v>45957</v>
      </c>
      <c r="B85" s="3" t="s">
        <v>139</v>
      </c>
      <c r="C85" s="4">
        <v>3.01</v>
      </c>
      <c r="D85" s="5">
        <v>5.9027777777777776E-3</v>
      </c>
      <c r="E85" s="6">
        <v>1.7777777777777781E-2</v>
      </c>
      <c r="F85" s="3" t="s">
        <v>140</v>
      </c>
      <c r="G85" s="8">
        <f>DATE(YEAR(RunLog[[#This Row],[Date]]),MONTH(RunLog[[#This Row],[Date]]),1)</f>
        <v>45931</v>
      </c>
      <c r="H85" s="9">
        <f>VALUE(_xlfn.TEXTBEFORE(RunLog[[#This Row],[Weather]],"°F"))</f>
        <v>74</v>
      </c>
      <c r="I85" t="str">
        <f>TRIM(_xlfn.TEXTAFTER(RunLog[[#This Row],[Weather]]," "))</f>
        <v>Clear</v>
      </c>
    </row>
    <row r="86" spans="1:9" x14ac:dyDescent="0.25">
      <c r="A86" s="2">
        <v>45953</v>
      </c>
      <c r="B86" s="3" t="s">
        <v>128</v>
      </c>
      <c r="C86" s="4">
        <v>2.97</v>
      </c>
      <c r="D86" s="5">
        <v>5.8912037037037041E-3</v>
      </c>
      <c r="E86" s="6">
        <v>1.7476851851851851E-2</v>
      </c>
      <c r="F86" s="3" t="s">
        <v>62</v>
      </c>
      <c r="G86" s="8">
        <f>DATE(YEAR(RunLog[[#This Row],[Date]]),MONTH(RunLog[[#This Row],[Date]]),1)</f>
        <v>45931</v>
      </c>
      <c r="H86" s="9">
        <f>VALUE(_xlfn.TEXTBEFORE(RunLog[[#This Row],[Weather]],"°F"))</f>
        <v>77</v>
      </c>
      <c r="I86" t="str">
        <f>TRIM(_xlfn.TEXTAFTER(RunLog[[#This Row],[Weather]]," "))</f>
        <v>Partly cloudy</v>
      </c>
    </row>
    <row r="87" spans="1:9" x14ac:dyDescent="0.25">
      <c r="A87" s="2">
        <v>45952</v>
      </c>
      <c r="B87" s="3" t="s">
        <v>141</v>
      </c>
      <c r="C87" s="4">
        <v>4.63</v>
      </c>
      <c r="D87" s="5">
        <v>6.7013888888888887E-3</v>
      </c>
      <c r="E87" s="6">
        <v>3.1018518518518522E-2</v>
      </c>
      <c r="F87" s="3" t="s">
        <v>93</v>
      </c>
      <c r="G87" s="8">
        <f>DATE(YEAR(RunLog[[#This Row],[Date]]),MONTH(RunLog[[#This Row],[Date]]),1)</f>
        <v>45931</v>
      </c>
      <c r="H87" s="9">
        <f>VALUE(_xlfn.TEXTBEFORE(RunLog[[#This Row],[Weather]],"°F"))</f>
        <v>76</v>
      </c>
      <c r="I87" t="str">
        <f>TRIM(_xlfn.TEXTAFTER(RunLog[[#This Row],[Weather]]," "))</f>
        <v>Clear</v>
      </c>
    </row>
    <row r="88" spans="1:9" x14ac:dyDescent="0.25">
      <c r="A88" s="2">
        <v>45950</v>
      </c>
      <c r="B88" s="3" t="s">
        <v>142</v>
      </c>
      <c r="C88" s="4">
        <v>2.97</v>
      </c>
      <c r="D88" s="5">
        <v>6.145833333333333E-3</v>
      </c>
      <c r="E88" s="6">
        <v>1.8217592592592591E-2</v>
      </c>
      <c r="F88" s="3" t="s">
        <v>125</v>
      </c>
      <c r="G88" s="8">
        <f>DATE(YEAR(RunLog[[#This Row],[Date]]),MONTH(RunLog[[#This Row],[Date]]),1)</f>
        <v>45931</v>
      </c>
      <c r="H88" s="9">
        <f>VALUE(_xlfn.TEXTBEFORE(RunLog[[#This Row],[Weather]],"°F"))</f>
        <v>75</v>
      </c>
      <c r="I88" t="str">
        <f>TRIM(_xlfn.TEXTAFTER(RunLog[[#This Row],[Weather]]," "))</f>
        <v>Clear</v>
      </c>
    </row>
    <row r="89" spans="1:9" x14ac:dyDescent="0.25">
      <c r="A89" s="2">
        <v>45947</v>
      </c>
      <c r="B89" s="3" t="s">
        <v>143</v>
      </c>
      <c r="C89" s="4">
        <v>4.8099999999999996</v>
      </c>
      <c r="D89" s="5">
        <v>7.6736111111111111E-3</v>
      </c>
      <c r="E89" s="6">
        <v>3.6886574074074072E-2</v>
      </c>
      <c r="F89" s="3" t="s">
        <v>60</v>
      </c>
      <c r="G89" s="8">
        <f>DATE(YEAR(RunLog[[#This Row],[Date]]),MONTH(RunLog[[#This Row],[Date]]),1)</f>
        <v>45931</v>
      </c>
      <c r="H89" s="9">
        <f>VALUE(_xlfn.TEXTBEFORE(RunLog[[#This Row],[Weather]],"°F"))</f>
        <v>82</v>
      </c>
      <c r="I89" t="str">
        <f>TRIM(_xlfn.TEXTAFTER(RunLog[[#This Row],[Weather]]," "))</f>
        <v>Clear</v>
      </c>
    </row>
    <row r="90" spans="1:9" x14ac:dyDescent="0.25">
      <c r="A90" s="2">
        <v>45945</v>
      </c>
      <c r="B90" s="3" t="s">
        <v>144</v>
      </c>
      <c r="C90" s="4">
        <v>4.66</v>
      </c>
      <c r="D90" s="5">
        <v>7.766203703703704E-3</v>
      </c>
      <c r="E90" s="6">
        <v>3.6168981481481483E-2</v>
      </c>
      <c r="F90" s="3" t="s">
        <v>35</v>
      </c>
      <c r="G90" s="8">
        <f>DATE(YEAR(RunLog[[#This Row],[Date]]),MONTH(RunLog[[#This Row],[Date]]),1)</f>
        <v>45931</v>
      </c>
      <c r="H90" s="9">
        <f>VALUE(_xlfn.TEXTBEFORE(RunLog[[#This Row],[Weather]],"°F"))</f>
        <v>84</v>
      </c>
      <c r="I90" t="str">
        <f>TRIM(_xlfn.TEXTAFTER(RunLog[[#This Row],[Weather]]," "))</f>
        <v>Clear</v>
      </c>
    </row>
    <row r="91" spans="1:9" x14ac:dyDescent="0.25">
      <c r="A91" s="2">
        <v>45944</v>
      </c>
      <c r="B91" s="3" t="s">
        <v>82</v>
      </c>
      <c r="C91" s="4">
        <v>4.54</v>
      </c>
      <c r="D91" s="5">
        <v>6.5740740740740742E-3</v>
      </c>
      <c r="E91" s="6">
        <v>2.9814814814814811E-2</v>
      </c>
      <c r="F91" s="3" t="s">
        <v>145</v>
      </c>
      <c r="G91" s="8">
        <f>DATE(YEAR(RunLog[[#This Row],[Date]]),MONTH(RunLog[[#This Row],[Date]]),1)</f>
        <v>45931</v>
      </c>
      <c r="H91" s="9">
        <f>VALUE(_xlfn.TEXTBEFORE(RunLog[[#This Row],[Weather]],"°F"))</f>
        <v>83</v>
      </c>
      <c r="I91" t="str">
        <f>TRIM(_xlfn.TEXTAFTER(RunLog[[#This Row],[Weather]]," "))</f>
        <v>Clear</v>
      </c>
    </row>
    <row r="92" spans="1:9" x14ac:dyDescent="0.25">
      <c r="A92" s="2">
        <v>45943</v>
      </c>
      <c r="B92" s="3" t="s">
        <v>67</v>
      </c>
      <c r="C92" s="4">
        <v>2.89</v>
      </c>
      <c r="D92" s="5">
        <v>6.7361111111111111E-3</v>
      </c>
      <c r="E92" s="6">
        <v>1.9456018518518518E-2</v>
      </c>
      <c r="F92" s="3" t="s">
        <v>49</v>
      </c>
      <c r="G92" s="8">
        <f>DATE(YEAR(RunLog[[#This Row],[Date]]),MONTH(RunLog[[#This Row],[Date]]),1)</f>
        <v>45931</v>
      </c>
      <c r="H92" s="9">
        <f>VALUE(_xlfn.TEXTBEFORE(RunLog[[#This Row],[Weather]],"°F"))</f>
        <v>81</v>
      </c>
      <c r="I92" t="str">
        <f>TRIM(_xlfn.TEXTAFTER(RunLog[[#This Row],[Weather]]," "))</f>
        <v>Clear</v>
      </c>
    </row>
    <row r="93" spans="1:9" x14ac:dyDescent="0.25">
      <c r="A93" s="2">
        <v>45923</v>
      </c>
      <c r="B93" s="3" t="s">
        <v>146</v>
      </c>
      <c r="C93" s="4">
        <v>2.94</v>
      </c>
      <c r="D93" s="5">
        <v>7.060185185185185E-3</v>
      </c>
      <c r="E93" s="6">
        <v>2.072916666666667E-2</v>
      </c>
      <c r="F93" s="3" t="s">
        <v>147</v>
      </c>
      <c r="G93" s="8">
        <f>DATE(YEAR(RunLog[[#This Row],[Date]]),MONTH(RunLog[[#This Row],[Date]]),1)</f>
        <v>45901</v>
      </c>
      <c r="H93" s="9">
        <f>VALUE(_xlfn.TEXTBEFORE(RunLog[[#This Row],[Weather]],"°F"))</f>
        <v>82</v>
      </c>
      <c r="I93" t="str">
        <f>TRIM(_xlfn.TEXTAFTER(RunLog[[#This Row],[Weather]]," "))</f>
        <v>Drizzle</v>
      </c>
    </row>
    <row r="94" spans="1:9" x14ac:dyDescent="0.25">
      <c r="A94" s="2">
        <v>45918</v>
      </c>
      <c r="B94" s="3" t="s">
        <v>148</v>
      </c>
      <c r="C94" s="4">
        <v>2.82</v>
      </c>
      <c r="D94" s="5">
        <v>6.3888888888888893E-3</v>
      </c>
      <c r="E94" s="6">
        <v>1.7997685185185189E-2</v>
      </c>
      <c r="F94" s="3" t="s">
        <v>149</v>
      </c>
      <c r="G94" s="8">
        <f>DATE(YEAR(RunLog[[#This Row],[Date]]),MONTH(RunLog[[#This Row],[Date]]),1)</f>
        <v>45901</v>
      </c>
      <c r="H94" s="9">
        <f>VALUE(_xlfn.TEXTBEFORE(RunLog[[#This Row],[Weather]],"°F"))</f>
        <v>86</v>
      </c>
      <c r="I94" t="str">
        <f>TRIM(_xlfn.TEXTAFTER(RunLog[[#This Row],[Weather]]," "))</f>
        <v>Clear</v>
      </c>
    </row>
    <row r="95" spans="1:9" x14ac:dyDescent="0.25">
      <c r="A95" s="2">
        <v>45917</v>
      </c>
      <c r="B95" s="3" t="s">
        <v>148</v>
      </c>
      <c r="C95" s="4">
        <v>2.97</v>
      </c>
      <c r="D95" s="5">
        <v>6.4930555555555557E-3</v>
      </c>
      <c r="E95" s="6">
        <v>1.9293981481481481E-2</v>
      </c>
      <c r="F95" s="3" t="s">
        <v>150</v>
      </c>
      <c r="G95" s="8">
        <f>DATE(YEAR(RunLog[[#This Row],[Date]]),MONTH(RunLog[[#This Row],[Date]]),1)</f>
        <v>45901</v>
      </c>
      <c r="H95" s="9">
        <f>VALUE(_xlfn.TEXTBEFORE(RunLog[[#This Row],[Weather]],"°F"))</f>
        <v>85</v>
      </c>
      <c r="I95" t="str">
        <f>TRIM(_xlfn.TEXTAFTER(RunLog[[#This Row],[Weather]]," "))</f>
        <v>Clear</v>
      </c>
    </row>
    <row r="96" spans="1:9" x14ac:dyDescent="0.25">
      <c r="A96" s="2">
        <v>45911</v>
      </c>
      <c r="B96" s="3" t="s">
        <v>151</v>
      </c>
      <c r="C96" s="4">
        <v>2.82</v>
      </c>
      <c r="D96" s="5">
        <v>6.2615740740740739E-3</v>
      </c>
      <c r="E96" s="6">
        <v>1.7638888888888891E-2</v>
      </c>
      <c r="F96" s="3" t="s">
        <v>149</v>
      </c>
      <c r="G96" s="8">
        <f>DATE(YEAR(RunLog[[#This Row],[Date]]),MONTH(RunLog[[#This Row],[Date]]),1)</f>
        <v>45901</v>
      </c>
      <c r="H96" s="9">
        <f>VALUE(_xlfn.TEXTBEFORE(RunLog[[#This Row],[Weather]],"°F"))</f>
        <v>86</v>
      </c>
      <c r="I96" t="str">
        <f>TRIM(_xlfn.TEXTAFTER(RunLog[[#This Row],[Weather]]," "))</f>
        <v>Clear</v>
      </c>
    </row>
    <row r="97" spans="1:9" x14ac:dyDescent="0.25">
      <c r="A97" s="2">
        <v>45910</v>
      </c>
      <c r="B97" s="3" t="s">
        <v>46</v>
      </c>
      <c r="C97" s="4">
        <v>2.87</v>
      </c>
      <c r="D97" s="5">
        <v>6.9560185185185176E-3</v>
      </c>
      <c r="E97" s="6">
        <v>1.998842592592593E-2</v>
      </c>
      <c r="F97" s="3" t="s">
        <v>152</v>
      </c>
      <c r="G97" s="8">
        <f>DATE(YEAR(RunLog[[#This Row],[Date]]),MONTH(RunLog[[#This Row],[Date]]),1)</f>
        <v>45901</v>
      </c>
      <c r="H97" s="9">
        <f>VALUE(_xlfn.TEXTBEFORE(RunLog[[#This Row],[Weather]],"°F"))</f>
        <v>82</v>
      </c>
      <c r="I97" t="str">
        <f>TRIM(_xlfn.TEXTAFTER(RunLog[[#This Row],[Weather]]," "))</f>
        <v>Partly cloudy</v>
      </c>
    </row>
    <row r="98" spans="1:9" x14ac:dyDescent="0.25">
      <c r="A98" s="2">
        <v>45909</v>
      </c>
      <c r="B98" s="3" t="s">
        <v>61</v>
      </c>
      <c r="C98" s="4">
        <v>3.02</v>
      </c>
      <c r="D98" s="5">
        <v>6.1689814814814819E-3</v>
      </c>
      <c r="E98" s="6">
        <v>1.863425925925926E-2</v>
      </c>
      <c r="F98" s="3" t="s">
        <v>153</v>
      </c>
      <c r="G98" s="8">
        <f>DATE(YEAR(RunLog[[#This Row],[Date]]),MONTH(RunLog[[#This Row],[Date]]),1)</f>
        <v>45901</v>
      </c>
      <c r="H98" s="9">
        <f>VALUE(_xlfn.TEXTBEFORE(RunLog[[#This Row],[Weather]],"°F"))</f>
        <v>81</v>
      </c>
      <c r="I98" t="str">
        <f>TRIM(_xlfn.TEXTAFTER(RunLog[[#This Row],[Weather]]," "))</f>
        <v>Partly cloudy</v>
      </c>
    </row>
    <row r="99" spans="1:9" x14ac:dyDescent="0.25">
      <c r="A99" s="2">
        <v>45901</v>
      </c>
      <c r="B99" s="3" t="s">
        <v>154</v>
      </c>
      <c r="C99" s="4">
        <v>3</v>
      </c>
      <c r="D99" s="5">
        <v>5.9837962962962961E-3</v>
      </c>
      <c r="E99" s="6">
        <v>1.7986111111111109E-2</v>
      </c>
      <c r="F99" s="3" t="s">
        <v>57</v>
      </c>
      <c r="G99" s="8">
        <f>DATE(YEAR(RunLog[[#This Row],[Date]]),MONTH(RunLog[[#This Row],[Date]]),1)</f>
        <v>45901</v>
      </c>
      <c r="H99" s="9">
        <f>VALUE(_xlfn.TEXTBEFORE(RunLog[[#This Row],[Weather]],"°F"))</f>
        <v>84</v>
      </c>
      <c r="I99" t="str">
        <f>TRIM(_xlfn.TEXTAFTER(RunLog[[#This Row],[Weather]]," "))</f>
        <v>Cloudy</v>
      </c>
    </row>
    <row r="100" spans="1:9" x14ac:dyDescent="0.25">
      <c r="A100" s="2">
        <v>45898</v>
      </c>
      <c r="B100" s="3" t="s">
        <v>155</v>
      </c>
      <c r="C100" s="4">
        <v>3.05</v>
      </c>
      <c r="D100" s="5">
        <v>6.0185185185185194E-3</v>
      </c>
      <c r="E100" s="6">
        <v>1.833333333333333E-2</v>
      </c>
      <c r="F100" s="3" t="s">
        <v>90</v>
      </c>
      <c r="G100" s="8">
        <f>DATE(YEAR(RunLog[[#This Row],[Date]]),MONTH(RunLog[[#This Row],[Date]]),1)</f>
        <v>45870</v>
      </c>
      <c r="H100" s="9">
        <f>VALUE(_xlfn.TEXTBEFORE(RunLog[[#This Row],[Weather]],"°F"))</f>
        <v>77</v>
      </c>
      <c r="I100" t="str">
        <f>TRIM(_xlfn.TEXTAFTER(RunLog[[#This Row],[Weather]]," "))</f>
        <v>Drizzle</v>
      </c>
    </row>
    <row r="101" spans="1:9" x14ac:dyDescent="0.25">
      <c r="A101" s="2">
        <v>45897</v>
      </c>
      <c r="B101" s="3" t="s">
        <v>86</v>
      </c>
      <c r="C101" s="4">
        <v>3</v>
      </c>
      <c r="D101" s="5">
        <v>5.9953703703703714E-3</v>
      </c>
      <c r="E101" s="6">
        <v>1.7974537037037039E-2</v>
      </c>
      <c r="F101" s="3" t="s">
        <v>156</v>
      </c>
      <c r="G101" s="8">
        <f>DATE(YEAR(RunLog[[#This Row],[Date]]),MONTH(RunLog[[#This Row],[Date]]),1)</f>
        <v>45870</v>
      </c>
      <c r="H101" s="9">
        <f>VALUE(_xlfn.TEXTBEFORE(RunLog[[#This Row],[Weather]],"°F"))</f>
        <v>85</v>
      </c>
      <c r="I101" t="str">
        <f>TRIM(_xlfn.TEXTAFTER(RunLog[[#This Row],[Weather]]," "))</f>
        <v>Partly cloudy</v>
      </c>
    </row>
    <row r="102" spans="1:9" x14ac:dyDescent="0.25">
      <c r="A102" s="2">
        <v>45896</v>
      </c>
      <c r="B102" s="3" t="s">
        <v>43</v>
      </c>
      <c r="C102" s="4">
        <v>3.02</v>
      </c>
      <c r="D102" s="5">
        <v>6.3194444444444444E-3</v>
      </c>
      <c r="E102" s="6">
        <v>1.909722222222222E-2</v>
      </c>
      <c r="F102" s="3" t="s">
        <v>157</v>
      </c>
      <c r="G102" s="8">
        <f>DATE(YEAR(RunLog[[#This Row],[Date]]),MONTH(RunLog[[#This Row],[Date]]),1)</f>
        <v>45870</v>
      </c>
      <c r="H102" s="9">
        <f>VALUE(_xlfn.TEXTBEFORE(RunLog[[#This Row],[Weather]],"°F"))</f>
        <v>84</v>
      </c>
      <c r="I102" t="str">
        <f>TRIM(_xlfn.TEXTAFTER(RunLog[[#This Row],[Weather]]," "))</f>
        <v>Partly cloudy</v>
      </c>
    </row>
    <row r="103" spans="1:9" x14ac:dyDescent="0.25">
      <c r="A103" s="2">
        <v>45894</v>
      </c>
      <c r="B103" s="3" t="s">
        <v>52</v>
      </c>
      <c r="C103" s="4">
        <v>2.96</v>
      </c>
      <c r="D103" s="5">
        <v>5.7986111111111112E-3</v>
      </c>
      <c r="E103" s="6">
        <v>1.7199074074074071E-2</v>
      </c>
      <c r="F103" s="3" t="s">
        <v>22</v>
      </c>
      <c r="G103" s="8">
        <f>DATE(YEAR(RunLog[[#This Row],[Date]]),MONTH(RunLog[[#This Row],[Date]]),1)</f>
        <v>45870</v>
      </c>
      <c r="H103" s="9">
        <f>VALUE(_xlfn.TEXTBEFORE(RunLog[[#This Row],[Weather]],"°F"))</f>
        <v>87</v>
      </c>
      <c r="I103" t="str">
        <f>TRIM(_xlfn.TEXTAFTER(RunLog[[#This Row],[Weather]]," "))</f>
        <v>Clear</v>
      </c>
    </row>
    <row r="104" spans="1:9" x14ac:dyDescent="0.25">
      <c r="A104" s="2">
        <v>45893</v>
      </c>
      <c r="B104" s="3" t="s">
        <v>96</v>
      </c>
      <c r="C104" s="4">
        <v>2.99</v>
      </c>
      <c r="D104" s="5">
        <v>5.5092592592592589E-3</v>
      </c>
      <c r="E104" s="6">
        <v>1.6435185185185181E-2</v>
      </c>
      <c r="F104" s="3" t="s">
        <v>158</v>
      </c>
      <c r="G104" s="8">
        <f>DATE(YEAR(RunLog[[#This Row],[Date]]),MONTH(RunLog[[#This Row],[Date]]),1)</f>
        <v>45870</v>
      </c>
      <c r="H104" s="9">
        <f>VALUE(_xlfn.TEXTBEFORE(RunLog[[#This Row],[Weather]],"°F"))</f>
        <v>91</v>
      </c>
      <c r="I104" t="str">
        <f>TRIM(_xlfn.TEXTAFTER(RunLog[[#This Row],[Weather]]," "))</f>
        <v>Clear</v>
      </c>
    </row>
  </sheetData>
  <mergeCells count="1">
    <mergeCell ref="K1:L1"/>
  </mergeCell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6BD0F4-AFE8-4988-8D28-C3A65DCA65F6}">
  <dimension ref="A3:J16"/>
  <sheetViews>
    <sheetView workbookViewId="0">
      <selection activeCell="F23" sqref="F23"/>
    </sheetView>
  </sheetViews>
  <sheetFormatPr defaultRowHeight="15" x14ac:dyDescent="0.25"/>
  <cols>
    <col min="1" max="1" width="13.85546875" bestFit="1" customWidth="1"/>
    <col min="2" max="2" width="10.140625" bestFit="1" customWidth="1"/>
    <col min="3" max="3" width="13.5703125" bestFit="1" customWidth="1"/>
    <col min="4" max="4" width="12.85546875" bestFit="1" customWidth="1"/>
    <col min="6" max="6" width="13.85546875" bestFit="1" customWidth="1"/>
    <col min="7" max="8" width="12.85546875" bestFit="1" customWidth="1"/>
    <col min="9" max="9" width="13.85546875" bestFit="1" customWidth="1"/>
    <col min="10" max="10" width="13.5703125" bestFit="1" customWidth="1"/>
    <col min="11" max="11" width="15.28515625" bestFit="1" customWidth="1"/>
  </cols>
  <sheetData>
    <row r="3" spans="1:10" x14ac:dyDescent="0.25">
      <c r="A3" s="10" t="s">
        <v>164</v>
      </c>
      <c r="B3" t="s">
        <v>163</v>
      </c>
      <c r="C3" t="s">
        <v>168</v>
      </c>
      <c r="D3" t="s">
        <v>161</v>
      </c>
      <c r="F3" s="10" t="s">
        <v>164</v>
      </c>
      <c r="G3" t="s">
        <v>161</v>
      </c>
      <c r="I3" s="10" t="s">
        <v>164</v>
      </c>
      <c r="J3" t="s">
        <v>168</v>
      </c>
    </row>
    <row r="4" spans="1:10" x14ac:dyDescent="0.25">
      <c r="A4" s="8">
        <v>45870</v>
      </c>
      <c r="B4" s="11">
        <v>5</v>
      </c>
      <c r="C4" s="7">
        <v>15.020000000000001</v>
      </c>
      <c r="D4" s="12">
        <v>5.9282407407407409E-3</v>
      </c>
      <c r="F4" s="8">
        <v>45870</v>
      </c>
      <c r="G4" s="12">
        <v>5.9282407407407409E-3</v>
      </c>
      <c r="I4" s="8">
        <v>45870</v>
      </c>
      <c r="J4" s="7">
        <v>15.020000000000001</v>
      </c>
    </row>
    <row r="5" spans="1:10" x14ac:dyDescent="0.25">
      <c r="A5" s="8">
        <v>45901</v>
      </c>
      <c r="B5" s="11">
        <v>7</v>
      </c>
      <c r="C5" s="7">
        <v>20.440000000000001</v>
      </c>
      <c r="D5" s="12">
        <v>6.4732142857142861E-3</v>
      </c>
      <c r="F5" s="8">
        <v>45901</v>
      </c>
      <c r="G5" s="12">
        <v>6.4732142857142861E-3</v>
      </c>
      <c r="I5" s="8">
        <v>45901</v>
      </c>
      <c r="J5" s="7">
        <v>20.440000000000001</v>
      </c>
    </row>
    <row r="6" spans="1:10" x14ac:dyDescent="0.25">
      <c r="A6" s="8">
        <v>45931</v>
      </c>
      <c r="B6" s="11">
        <v>10</v>
      </c>
      <c r="C6" s="7">
        <v>36.46</v>
      </c>
      <c r="D6" s="12">
        <v>6.6145833333333334E-3</v>
      </c>
      <c r="F6" s="8">
        <v>45931</v>
      </c>
      <c r="G6" s="12">
        <v>6.6145833333333334E-3</v>
      </c>
      <c r="I6" s="8">
        <v>45931</v>
      </c>
      <c r="J6" s="7">
        <v>36.46</v>
      </c>
    </row>
    <row r="7" spans="1:10" x14ac:dyDescent="0.25">
      <c r="A7" s="8">
        <v>45962</v>
      </c>
      <c r="B7" s="11">
        <v>10</v>
      </c>
      <c r="C7" s="7">
        <v>31.159999999999997</v>
      </c>
      <c r="D7" s="12">
        <v>6.3576388888888892E-3</v>
      </c>
      <c r="F7" s="8">
        <v>45962</v>
      </c>
      <c r="G7" s="12">
        <v>6.3576388888888892E-3</v>
      </c>
      <c r="I7" s="8">
        <v>45962</v>
      </c>
      <c r="J7" s="7">
        <v>31.159999999999997</v>
      </c>
    </row>
    <row r="8" spans="1:10" x14ac:dyDescent="0.25">
      <c r="A8" s="8">
        <v>45992</v>
      </c>
      <c r="B8" s="11">
        <v>5</v>
      </c>
      <c r="C8" s="7">
        <v>16.490000000000002</v>
      </c>
      <c r="D8" s="12">
        <v>6.1550925925925922E-3</v>
      </c>
      <c r="F8" s="8">
        <v>45992</v>
      </c>
      <c r="G8" s="12">
        <v>6.1550925925925922E-3</v>
      </c>
      <c r="I8" s="8">
        <v>45992</v>
      </c>
      <c r="J8" s="7">
        <v>16.490000000000002</v>
      </c>
    </row>
    <row r="9" spans="1:10" x14ac:dyDescent="0.25">
      <c r="A9" s="8">
        <v>46023</v>
      </c>
      <c r="B9" s="11">
        <v>7</v>
      </c>
      <c r="C9" s="7">
        <v>29.099999999999998</v>
      </c>
      <c r="D9" s="12">
        <v>6.332671957671958E-3</v>
      </c>
      <c r="F9" s="8">
        <v>46023</v>
      </c>
      <c r="G9" s="12">
        <v>6.332671957671958E-3</v>
      </c>
      <c r="I9" s="8">
        <v>46023</v>
      </c>
      <c r="J9" s="7">
        <v>29.099999999999998</v>
      </c>
    </row>
    <row r="10" spans="1:10" x14ac:dyDescent="0.25">
      <c r="A10" s="8">
        <v>46054</v>
      </c>
      <c r="B10" s="11">
        <v>4</v>
      </c>
      <c r="C10" s="7">
        <v>17.350000000000001</v>
      </c>
      <c r="D10" s="12">
        <v>6.8229166666666664E-3</v>
      </c>
      <c r="F10" s="8">
        <v>46054</v>
      </c>
      <c r="G10" s="12">
        <v>6.8229166666666664E-3</v>
      </c>
      <c r="I10" s="8">
        <v>46054</v>
      </c>
      <c r="J10" s="7">
        <v>17.350000000000001</v>
      </c>
    </row>
    <row r="11" spans="1:10" x14ac:dyDescent="0.25">
      <c r="A11" s="8">
        <v>46082</v>
      </c>
      <c r="B11" s="11">
        <v>13</v>
      </c>
      <c r="C11" s="7">
        <v>51.749999999999993</v>
      </c>
      <c r="D11" s="12">
        <v>6.1885683760683763E-3</v>
      </c>
      <c r="F11" s="8">
        <v>46082</v>
      </c>
      <c r="G11" s="12">
        <v>6.1885683760683763E-3</v>
      </c>
      <c r="I11" s="8">
        <v>46082</v>
      </c>
      <c r="J11" s="7">
        <v>51.749999999999993</v>
      </c>
    </row>
    <row r="12" spans="1:10" x14ac:dyDescent="0.25">
      <c r="A12" s="8">
        <v>46113</v>
      </c>
      <c r="B12" s="11">
        <v>13</v>
      </c>
      <c r="C12" s="7">
        <v>49.42</v>
      </c>
      <c r="D12" s="12">
        <v>6.5117521367521365E-3</v>
      </c>
      <c r="F12" s="8">
        <v>46113</v>
      </c>
      <c r="G12" s="12">
        <v>6.5117521367521365E-3</v>
      </c>
      <c r="I12" s="8">
        <v>46113</v>
      </c>
      <c r="J12" s="7">
        <v>49.42</v>
      </c>
    </row>
    <row r="13" spans="1:10" x14ac:dyDescent="0.25">
      <c r="A13" s="8">
        <v>46143</v>
      </c>
      <c r="B13" s="11">
        <v>8</v>
      </c>
      <c r="C13" s="7">
        <v>32.51</v>
      </c>
      <c r="D13" s="12">
        <v>6.2514467592592587E-3</v>
      </c>
      <c r="F13" s="8">
        <v>46143</v>
      </c>
      <c r="G13" s="12">
        <v>6.2514467592592587E-3</v>
      </c>
      <c r="I13" s="8">
        <v>46143</v>
      </c>
      <c r="J13" s="7">
        <v>32.51</v>
      </c>
    </row>
    <row r="14" spans="1:10" x14ac:dyDescent="0.25">
      <c r="A14" s="8">
        <v>46174</v>
      </c>
      <c r="B14" s="11">
        <v>15</v>
      </c>
      <c r="C14" s="7">
        <v>46.3</v>
      </c>
      <c r="D14" s="12">
        <v>6.0694444444444433E-3</v>
      </c>
      <c r="F14" s="8">
        <v>46174</v>
      </c>
      <c r="G14" s="12">
        <v>6.0694444444444433E-3</v>
      </c>
      <c r="I14" s="8">
        <v>46174</v>
      </c>
      <c r="J14" s="7">
        <v>46.3</v>
      </c>
    </row>
    <row r="15" spans="1:10" x14ac:dyDescent="0.25">
      <c r="A15" s="8">
        <v>46204</v>
      </c>
      <c r="B15" s="11">
        <v>6</v>
      </c>
      <c r="C15" s="7">
        <v>23.299999999999997</v>
      </c>
      <c r="D15" s="12">
        <v>6.377314814814814E-3</v>
      </c>
      <c r="F15" s="8">
        <v>46204</v>
      </c>
      <c r="G15" s="12">
        <v>6.377314814814814E-3</v>
      </c>
      <c r="I15" s="8">
        <v>46204</v>
      </c>
      <c r="J15" s="7">
        <v>23.299999999999997</v>
      </c>
    </row>
    <row r="16" spans="1:10" x14ac:dyDescent="0.25">
      <c r="A16" s="8" t="s">
        <v>167</v>
      </c>
      <c r="B16" s="11">
        <v>103</v>
      </c>
      <c r="C16" s="7">
        <v>369.30000000000013</v>
      </c>
      <c r="D16" s="12">
        <v>6.3251752966558784E-3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9CA39-74EC-4AD0-8731-844CD857F225}">
  <dimension ref="A1"/>
  <sheetViews>
    <sheetView showGridLines="0" workbookViewId="0">
      <selection activeCell="Y36" sqref="Y36"/>
    </sheetView>
  </sheetViews>
  <sheetFormatPr defaultRowHeight="15" x14ac:dyDescent="0.25"/>
  <sheetData/>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Runs</vt:lpstr>
      <vt:lpstr>Pivot 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William Steck</cp:lastModifiedBy>
  <dcterms:created xsi:type="dcterms:W3CDTF">2026-07-20T20:26:02Z</dcterms:created>
  <dcterms:modified xsi:type="dcterms:W3CDTF">2026-07-20T22:34:14Z</dcterms:modified>
</cp:coreProperties>
</file>